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8b6d0fceeb955ba/Desktop/"/>
    </mc:Choice>
  </mc:AlternateContent>
  <xr:revisionPtr revIDLastSave="272" documentId="13_ncr:1_{88D395D5-CB6A-4AFC-A6F5-172C9E9211AA}" xr6:coauthVersionLast="47" xr6:coauthVersionMax="47" xr10:uidLastSave="{5B492E26-A807-4FA0-AE7D-E3C6176F95B0}"/>
  <bookViews>
    <workbookView xWindow="-108" yWindow="-108" windowWidth="23256" windowHeight="13176" tabRatio="775" firstSheet="1" activeTab="1" xr2:uid="{00000000-000D-0000-FFFF-FFFF00000000}"/>
  </bookViews>
  <sheets>
    <sheet name="RO Nos" sheetId="11" state="hidden" r:id="rId1"/>
    <sheet name="RO" sheetId="31" r:id="rId2"/>
    <sheet name="Cinema" sheetId="21" state="hidden" r:id="rId3"/>
  </sheets>
  <definedNames>
    <definedName name="_xlnm._FilterDatabase" localSheetId="2" hidden="1">Cinema!$A$1:$AU$1</definedName>
    <definedName name="_xlnm._FilterDatabase" localSheetId="1" hidden="1">RO!$A$1:$AB$939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1" l="1"/>
  <c r="U3" i="31"/>
  <c r="U4" i="31"/>
  <c r="U5" i="31"/>
  <c r="C3" i="31" l="1"/>
  <c r="C4" i="31"/>
  <c r="C5" i="31"/>
  <c r="C2" i="31"/>
  <c r="R3" i="31"/>
  <c r="R4" i="31"/>
  <c r="R5" i="31"/>
  <c r="R2" i="31"/>
  <c r="M3" i="31"/>
  <c r="M4" i="31"/>
  <c r="M5" i="31"/>
  <c r="M2" i="31"/>
  <c r="X3" i="31" l="1"/>
  <c r="X5" i="31"/>
  <c r="X4" i="31"/>
  <c r="X2" i="31"/>
  <c r="Z3" i="31" l="1"/>
  <c r="AA3" i="31" s="1"/>
  <c r="Z2" i="31"/>
  <c r="AA2" i="31" s="1"/>
  <c r="Z4" i="31"/>
  <c r="AA4" i="31" s="1"/>
  <c r="Z5" i="31"/>
  <c r="AA5" i="31" s="1"/>
  <c r="Y4" i="21" l="1"/>
  <c r="AU4" i="21" l="1"/>
  <c r="AB4" i="21" s="1"/>
  <c r="AT4" i="21"/>
  <c r="AS4" i="21"/>
  <c r="AR4" i="21"/>
  <c r="AG4" i="21"/>
  <c r="X4" i="21"/>
  <c r="S4" i="21"/>
  <c r="R4" i="21"/>
  <c r="I4" i="21"/>
  <c r="C4" i="21"/>
  <c r="AH4" i="21" l="1"/>
  <c r="AI4" i="21" s="1"/>
  <c r="Z4" i="21"/>
  <c r="AA4" i="21"/>
  <c r="AK4" i="21" l="1"/>
  <c r="AC4" i="21"/>
  <c r="AJ4" i="21"/>
  <c r="AL4" i="21" s="1"/>
  <c r="AM4" i="21" s="1"/>
  <c r="AN4" i="21" l="1"/>
  <c r="Y3" i="21" l="1"/>
  <c r="AU2" i="21" l="1"/>
  <c r="AT2" i="21"/>
  <c r="AT3" i="21"/>
  <c r="AS3" i="21" l="1"/>
  <c r="AS2" i="21"/>
  <c r="AR3" i="21"/>
  <c r="AR2" i="21"/>
  <c r="C3" i="21" l="1"/>
  <c r="AG2" i="21"/>
  <c r="Y2" i="21"/>
  <c r="Z2" i="21" s="1"/>
  <c r="X2" i="21"/>
  <c r="S2" i="21"/>
  <c r="R2" i="21"/>
  <c r="I2" i="21"/>
  <c r="C2" i="21"/>
  <c r="AB2" i="21" l="1"/>
  <c r="AA2" i="21"/>
  <c r="AH2" i="21"/>
  <c r="AK2" i="21" s="1"/>
  <c r="AC2" i="21" l="1"/>
  <c r="AJ2" i="21"/>
  <c r="AI2" i="21"/>
  <c r="AL2" i="21" l="1"/>
  <c r="AM2" i="21" s="1"/>
  <c r="AN2" i="21" s="1"/>
  <c r="AU3" i="21" l="1"/>
  <c r="AG3" i="21"/>
  <c r="X3" i="21"/>
  <c r="S3" i="21"/>
  <c r="R3" i="21"/>
  <c r="I3" i="21"/>
  <c r="AB3" i="21" l="1"/>
  <c r="AA3" i="21"/>
  <c r="Z3" i="21"/>
  <c r="AH3" i="21"/>
  <c r="AJ3" i="21" s="1"/>
  <c r="AC3" i="21" l="1"/>
  <c r="AI3" i="21"/>
  <c r="AK3" i="21"/>
  <c r="AL3" i="21" l="1"/>
  <c r="AM3" i="21" s="1"/>
  <c r="AN3" i="21" s="1"/>
</calcChain>
</file>

<file path=xl/sharedStrings.xml><?xml version="1.0" encoding="utf-8"?>
<sst xmlns="http://schemas.openxmlformats.org/spreadsheetml/2006/main" count="2499" uniqueCount="1017">
  <si>
    <t>IB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</si>
  <si>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</si>
  <si>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</si>
  <si>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</si>
  <si>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</si>
  <si>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</si>
  <si>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</si>
  <si>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</si>
  <si>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</si>
  <si>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</si>
  <si>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</si>
  <si>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</si>
  <si>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</si>
  <si>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AGENCY</t>
  </si>
  <si>
    <t>RO NUMBER</t>
  </si>
  <si>
    <t>IB NO</t>
  </si>
  <si>
    <t>OB NO</t>
  </si>
  <si>
    <t>OB TOTAL BILL VALUE</t>
  </si>
  <si>
    <t>Print - Coeus</t>
  </si>
  <si>
    <t>Done</t>
  </si>
  <si>
    <t>DONE</t>
  </si>
  <si>
    <t>Coeus</t>
  </si>
  <si>
    <t>001/TV/2022-23</t>
  </si>
  <si>
    <t>225007330062</t>
  </si>
  <si>
    <t>TV/028/22-23</t>
  </si>
  <si>
    <t>Print - Crayons</t>
  </si>
  <si>
    <t>225007330063</t>
  </si>
  <si>
    <t>Digital</t>
  </si>
  <si>
    <t>NO BILLS</t>
  </si>
  <si>
    <t>563800133/2022</t>
  </si>
  <si>
    <t>Radio</t>
  </si>
  <si>
    <t>002/TV/2022-23</t>
  </si>
  <si>
    <t>Events</t>
  </si>
  <si>
    <t>022/PR/2022-23</t>
  </si>
  <si>
    <t>TN001</t>
  </si>
  <si>
    <t>PR/004/2022-23</t>
  </si>
  <si>
    <t>TV</t>
  </si>
  <si>
    <t>023/PR/2022-23</t>
  </si>
  <si>
    <t>3300338798</t>
  </si>
  <si>
    <t>OB</t>
  </si>
  <si>
    <t>3300339170</t>
  </si>
  <si>
    <t>030/PR/2022-23</t>
  </si>
  <si>
    <t>CANCELLED</t>
  </si>
  <si>
    <t>031/TV/2022-23</t>
  </si>
  <si>
    <t>O12300041246</t>
  </si>
  <si>
    <t>TV/016/2022-23</t>
  </si>
  <si>
    <t>032/TV/2022-23</t>
  </si>
  <si>
    <t>O12300041245</t>
  </si>
  <si>
    <t>033/TV/2022-23</t>
  </si>
  <si>
    <t>O12300041248</t>
  </si>
  <si>
    <t>034/TV/2022-23 v2</t>
  </si>
  <si>
    <t>F29005000251</t>
  </si>
  <si>
    <t>035/TV/2022-23 v2</t>
  </si>
  <si>
    <t>(blank)</t>
  </si>
  <si>
    <t>036/TV/2022-23 v1</t>
  </si>
  <si>
    <t>DROPPED</t>
  </si>
  <si>
    <t>F29005000253</t>
  </si>
  <si>
    <t>037/TV/2022-23 v1</t>
  </si>
  <si>
    <t>225007330019</t>
  </si>
  <si>
    <t>038/TV/2022-23 v1</t>
  </si>
  <si>
    <t>039/TV/2022-23 v1</t>
  </si>
  <si>
    <t>040/TV/2022-23 v1</t>
  </si>
  <si>
    <t>225005330037</t>
  </si>
  <si>
    <t>041/TV/2022-23 v1</t>
  </si>
  <si>
    <t>225633330008</t>
  </si>
  <si>
    <t>042/TV/2022-23 v1</t>
  </si>
  <si>
    <t>225629330007</t>
  </si>
  <si>
    <t>043/TV/2022-23 v1</t>
  </si>
  <si>
    <t>225002330015</t>
  </si>
  <si>
    <t>044/TV/2022-23 v1</t>
  </si>
  <si>
    <t>PN/000038/2223</t>
  </si>
  <si>
    <t>045/TV/2022-23 v1</t>
  </si>
  <si>
    <t>PTV/000088/22-23</t>
  </si>
  <si>
    <t>046/TV/2022-23 v1</t>
  </si>
  <si>
    <t>047/TV/2022-23 v1</t>
  </si>
  <si>
    <t>048/TV/2022-23 v1</t>
  </si>
  <si>
    <t>049/TV/2022-23 v1</t>
  </si>
  <si>
    <t>223321000041</t>
  </si>
  <si>
    <t>050/TV/2022-23 v1</t>
  </si>
  <si>
    <t>051/TV/2022-23 v1</t>
  </si>
  <si>
    <t>TN134TN2220013</t>
  </si>
  <si>
    <t>052/PR/2022-23</t>
  </si>
  <si>
    <t>AK23000018</t>
  </si>
  <si>
    <t>AK23000023</t>
  </si>
  <si>
    <t>AK23000048</t>
  </si>
  <si>
    <t>AK23000052</t>
  </si>
  <si>
    <t>053/PR/2022-23</t>
  </si>
  <si>
    <t>2022-23/TCM-3</t>
  </si>
  <si>
    <t>054/PR/2022-23 v1</t>
  </si>
  <si>
    <t>AD/001/PP/22-23</t>
  </si>
  <si>
    <t>055/TV/2022-23</t>
  </si>
  <si>
    <t>225002330029</t>
  </si>
  <si>
    <t>TV/030/22-23</t>
  </si>
  <si>
    <t>056/TV/2022-23</t>
  </si>
  <si>
    <t>225543330013</t>
  </si>
  <si>
    <t>057/TV/2022-23</t>
  </si>
  <si>
    <t>225629330015</t>
  </si>
  <si>
    <t>No Release order sent</t>
  </si>
  <si>
    <t>058/TV/2022-23</t>
  </si>
  <si>
    <t>F29005000254</t>
  </si>
  <si>
    <t>F29005000255</t>
  </si>
  <si>
    <t>059/TV/2022-23</t>
  </si>
  <si>
    <t>O12300041247</t>
  </si>
  <si>
    <t>060/TV/2022-23</t>
  </si>
  <si>
    <t>SN/22-23/04/0042</t>
  </si>
  <si>
    <t>TV/010/2022-23</t>
  </si>
  <si>
    <t>061/TV/2022-23</t>
  </si>
  <si>
    <t>AN/22-23/04/0016</t>
  </si>
  <si>
    <t>062/TV/2022-23</t>
  </si>
  <si>
    <t>PN/000037/2223</t>
  </si>
  <si>
    <t>063/PR/2022-23</t>
  </si>
  <si>
    <t>TN022</t>
  </si>
  <si>
    <t>PR/002/2022-23</t>
  </si>
  <si>
    <t>TN024</t>
  </si>
  <si>
    <t>TN027</t>
  </si>
  <si>
    <t>064/PR/2022-23</t>
  </si>
  <si>
    <t>BCTN22RV-0000500</t>
  </si>
  <si>
    <t>PR/013/22-23</t>
  </si>
  <si>
    <t>065/PR/2022-23</t>
  </si>
  <si>
    <t>3300340023</t>
  </si>
  <si>
    <t>3300340150</t>
  </si>
  <si>
    <t>3300340318</t>
  </si>
  <si>
    <t>3300340349</t>
  </si>
  <si>
    <t>069/PR/2022-23 V1</t>
  </si>
  <si>
    <t>AK23000239</t>
  </si>
  <si>
    <t>AK23000315</t>
  </si>
  <si>
    <t>AK23000338</t>
  </si>
  <si>
    <t>072/TV/2022-23 v2</t>
  </si>
  <si>
    <t>O12300041249</t>
  </si>
  <si>
    <t>TV/031/22-23</t>
  </si>
  <si>
    <t>O12300041625</t>
  </si>
  <si>
    <t>O12300041626</t>
  </si>
  <si>
    <t>073/TV/2022-23 V3</t>
  </si>
  <si>
    <t>O12300042096</t>
  </si>
  <si>
    <t>TV/054/22-23</t>
  </si>
  <si>
    <t>O12300042472</t>
  </si>
  <si>
    <t>O12300042719</t>
  </si>
  <si>
    <t>TV/096/22-23</t>
  </si>
  <si>
    <t>O12300043114</t>
  </si>
  <si>
    <t>074/TV/2022-23 V1</t>
  </si>
  <si>
    <t>075/TV/2022-23 V1</t>
  </si>
  <si>
    <t>O12300043395</t>
  </si>
  <si>
    <t>O12300043649</t>
  </si>
  <si>
    <t>077/TV/2022-23 v1</t>
  </si>
  <si>
    <t>225007330173</t>
  </si>
  <si>
    <t>TV/032/22-23</t>
  </si>
  <si>
    <t>225007330315</t>
  </si>
  <si>
    <t>078/TV/2022-23 v1</t>
  </si>
  <si>
    <t>225007330394</t>
  </si>
  <si>
    <t>TV/055/22-23</t>
  </si>
  <si>
    <t>079/TV/2022-23 v1</t>
  </si>
  <si>
    <t>563800101/2022-23</t>
  </si>
  <si>
    <t>080/TV/2022-23 v1</t>
  </si>
  <si>
    <t>081/PR/2022-23</t>
  </si>
  <si>
    <t>TN032</t>
  </si>
  <si>
    <t>PR/005/2022-23</t>
  </si>
  <si>
    <t>082/TV/2022-23 v1</t>
  </si>
  <si>
    <t>O12300041238</t>
  </si>
  <si>
    <t>O12300041624</t>
  </si>
  <si>
    <t>O12300041627</t>
  </si>
  <si>
    <t>083/TV/2022-23 V2</t>
  </si>
  <si>
    <t>O12300042098</t>
  </si>
  <si>
    <t>O12300042280</t>
  </si>
  <si>
    <t>084/TV/2022-23</t>
  </si>
  <si>
    <t>O12300042718</t>
  </si>
  <si>
    <t>O12300043112</t>
  </si>
  <si>
    <t>085/TV/2022-23</t>
  </si>
  <si>
    <t>O12300043396</t>
  </si>
  <si>
    <t>O12300043648</t>
  </si>
  <si>
    <t>086/TV/2022-23</t>
  </si>
  <si>
    <t>225007330068</t>
  </si>
  <si>
    <t>TV/029/22-23</t>
  </si>
  <si>
    <t>087/TV/2022-23</t>
  </si>
  <si>
    <t>563800141/2022-23</t>
  </si>
  <si>
    <t>088/TV/2022-23</t>
  </si>
  <si>
    <t>O12300041243</t>
  </si>
  <si>
    <t>O12300041244</t>
  </si>
  <si>
    <t>089/TV/2022-23</t>
  </si>
  <si>
    <t>O12300041241</t>
  </si>
  <si>
    <t>O12300041242</t>
  </si>
  <si>
    <t>090/TV/2022-23</t>
  </si>
  <si>
    <t>225007330067</t>
  </si>
  <si>
    <t>TV/011/2022-23</t>
  </si>
  <si>
    <t>091/TV/2022-23</t>
  </si>
  <si>
    <t>092/TV/2022-23</t>
  </si>
  <si>
    <t>F29005000252</t>
  </si>
  <si>
    <t>093/TV/2022-23</t>
  </si>
  <si>
    <t>094/TV/2022-23</t>
  </si>
  <si>
    <t>O12300041239</t>
  </si>
  <si>
    <t>095/TV/2022-23</t>
  </si>
  <si>
    <t>O12300041240</t>
  </si>
  <si>
    <t>096/TV/2022-23</t>
  </si>
  <si>
    <t>2233210000069</t>
  </si>
  <si>
    <t>097/TV/2022-23</t>
  </si>
  <si>
    <t>368394</t>
  </si>
  <si>
    <t>098/PR/2022-23</t>
  </si>
  <si>
    <t>3300341754</t>
  </si>
  <si>
    <t>PR/024/22-23</t>
  </si>
  <si>
    <t>099/PR/2022-23</t>
  </si>
  <si>
    <t>TN085</t>
  </si>
  <si>
    <t>PR/006/2022-23</t>
  </si>
  <si>
    <t>100/PR/2022-23 v1</t>
  </si>
  <si>
    <t>TN/012/2022</t>
  </si>
  <si>
    <t>PR/009/2022-23</t>
  </si>
  <si>
    <t>102/TV/2022-23 V2</t>
  </si>
  <si>
    <t>O12300041622</t>
  </si>
  <si>
    <t>TV/012/2022-23</t>
  </si>
  <si>
    <t>103/TV/2022-23 V1</t>
  </si>
  <si>
    <t>O12300041623</t>
  </si>
  <si>
    <t>104/TV/2022-23</t>
  </si>
  <si>
    <t>F29005000588</t>
  </si>
  <si>
    <t>105/TV/2022-23</t>
  </si>
  <si>
    <t>106/TV/2022-23</t>
  </si>
  <si>
    <t>F29005000589</t>
  </si>
  <si>
    <t>107/TV/2022-23</t>
  </si>
  <si>
    <t>O12300041479</t>
  </si>
  <si>
    <t>108/TV/2022-23</t>
  </si>
  <si>
    <t>225007330216</t>
  </si>
  <si>
    <t>109/TV/2022-23</t>
  </si>
  <si>
    <t>110/TV/2022-23</t>
  </si>
  <si>
    <t>225002330139</t>
  </si>
  <si>
    <t>111/TV/2022-23</t>
  </si>
  <si>
    <t>PN/000036/2223</t>
  </si>
  <si>
    <t>112/TV/2022-23</t>
  </si>
  <si>
    <t>PTV/000248/22-23</t>
  </si>
  <si>
    <t>113/TV/2022-23</t>
  </si>
  <si>
    <t>TN134TN2220076</t>
  </si>
  <si>
    <t>114/TV/2022-23</t>
  </si>
  <si>
    <t>SMV-0042/22-23</t>
  </si>
  <si>
    <t>117/PR/2022-23</t>
  </si>
  <si>
    <t>TN122</t>
  </si>
  <si>
    <t>PR/007/2022-23</t>
  </si>
  <si>
    <t>118/PR/2022-23 v1</t>
  </si>
  <si>
    <t>TN138</t>
  </si>
  <si>
    <t>PR/008/2022-23</t>
  </si>
  <si>
    <t>119/TV/2022-23</t>
  </si>
  <si>
    <t>F29005000590</t>
  </si>
  <si>
    <t>TV/033/22-23</t>
  </si>
  <si>
    <t>F29005000591</t>
  </si>
  <si>
    <t>120/TV/2022-23</t>
  </si>
  <si>
    <t>772</t>
  </si>
  <si>
    <t>121/TV/2022-23</t>
  </si>
  <si>
    <t>122/TV/2022-23</t>
  </si>
  <si>
    <t>O12300041406</t>
  </si>
  <si>
    <t>123/TV/2022-23</t>
  </si>
  <si>
    <t>O12300041407</t>
  </si>
  <si>
    <t>124/TV/2022-23</t>
  </si>
  <si>
    <t>225005330128</t>
  </si>
  <si>
    <t>125/TV/2022-23</t>
  </si>
  <si>
    <t>225633330038</t>
  </si>
  <si>
    <t>126/TV/2022-23</t>
  </si>
  <si>
    <t>225001330115</t>
  </si>
  <si>
    <t>127/TV/2022-23</t>
  </si>
  <si>
    <t>128/TV/2022-23</t>
  </si>
  <si>
    <t>225543330111</t>
  </si>
  <si>
    <t>129/TV/2022-23</t>
  </si>
  <si>
    <t>225002330189</t>
  </si>
  <si>
    <t>130/TV/2022-23</t>
  </si>
  <si>
    <t>225629330112</t>
  </si>
  <si>
    <t>131/PR/2022-23</t>
  </si>
  <si>
    <t>AK23000975</t>
  </si>
  <si>
    <t>PR/003/2022-23</t>
  </si>
  <si>
    <t>141/PR/2022-23</t>
  </si>
  <si>
    <t>AK23001120</t>
  </si>
  <si>
    <t>PR/015/22-23</t>
  </si>
  <si>
    <t>144/PR/2022-23 v1</t>
  </si>
  <si>
    <t>AK23002161</t>
  </si>
  <si>
    <t>PR/050/2022-23</t>
  </si>
  <si>
    <t>145/PR/2022-23</t>
  </si>
  <si>
    <t>VV22223050001253</t>
  </si>
  <si>
    <t>PR/037/2022-23</t>
  </si>
  <si>
    <t>146/PR/2022-23</t>
  </si>
  <si>
    <t>AD2210005555</t>
  </si>
  <si>
    <t>PR/038/2022-23</t>
  </si>
  <si>
    <t>147/TV/2022-23</t>
  </si>
  <si>
    <t>153/TV/2022-23 V1</t>
  </si>
  <si>
    <t>225001330155</t>
  </si>
  <si>
    <t>TV/053/22-23</t>
  </si>
  <si>
    <t>154/TV/2022-23 V1</t>
  </si>
  <si>
    <t>563200059</t>
  </si>
  <si>
    <t>155/TV/2022-23 V1</t>
  </si>
  <si>
    <t>225543330135</t>
  </si>
  <si>
    <t>156/TV/2022-23 V1</t>
  </si>
  <si>
    <t>225002330245</t>
  </si>
  <si>
    <t>157/TV/2022-23 V1</t>
  </si>
  <si>
    <t>O12300041846</t>
  </si>
  <si>
    <t>158/TV/2022-23 V1</t>
  </si>
  <si>
    <t>PN/000338/2223</t>
  </si>
  <si>
    <t>159/TV/2022-23</t>
  </si>
  <si>
    <t>PTV/000474/22-23</t>
  </si>
  <si>
    <t>160/TV/2022-23</t>
  </si>
  <si>
    <t>1862</t>
  </si>
  <si>
    <t>161/PR/2022-23</t>
  </si>
  <si>
    <t>TN206</t>
  </si>
  <si>
    <t>PR/041/2022-23</t>
  </si>
  <si>
    <t>162/TV/2022-23</t>
  </si>
  <si>
    <t>PN/000341/2223</t>
  </si>
  <si>
    <t>TV/051/22-23</t>
  </si>
  <si>
    <t>163/TV/2022-23</t>
  </si>
  <si>
    <t>225543330149</t>
  </si>
  <si>
    <t>225543330194</t>
  </si>
  <si>
    <t>164/TV/2022-23</t>
  </si>
  <si>
    <t>225001330175</t>
  </si>
  <si>
    <t>225001330226</t>
  </si>
  <si>
    <t>165/TV/2022-23</t>
  </si>
  <si>
    <t>563200070/2022</t>
  </si>
  <si>
    <t>166/TV/2022-23</t>
  </si>
  <si>
    <t>PN/000342/2223</t>
  </si>
  <si>
    <t>TV/046/2022-23</t>
  </si>
  <si>
    <t>167/TV/2022-23</t>
  </si>
  <si>
    <t>225007330433</t>
  </si>
  <si>
    <t>168/TV/2022-23</t>
  </si>
  <si>
    <t>563800297/2022</t>
  </si>
  <si>
    <t>169/TV/2022-23 V1</t>
  </si>
  <si>
    <t>225005330168</t>
  </si>
  <si>
    <t>170/TV/2022-23 V1</t>
  </si>
  <si>
    <t>563300088/2022</t>
  </si>
  <si>
    <t>171/TV/2022-23 V1</t>
  </si>
  <si>
    <t>225002330301</t>
  </si>
  <si>
    <t>172/TV/2022-23 V2</t>
  </si>
  <si>
    <t>F29005000948</t>
  </si>
  <si>
    <t>F29005000949</t>
  </si>
  <si>
    <t>F29005001290</t>
  </si>
  <si>
    <t>173/TV/2022-23 V2</t>
  </si>
  <si>
    <t>ZA/TD/22054061M</t>
  </si>
  <si>
    <t>ZA/TM/22054082M</t>
  </si>
  <si>
    <t>174/TV/2022-23 V2</t>
  </si>
  <si>
    <t>F29005000950</t>
  </si>
  <si>
    <t>F29005001291</t>
  </si>
  <si>
    <t>175/TV/2022-23 V2</t>
  </si>
  <si>
    <t>O12300042099</t>
  </si>
  <si>
    <t>176/TV/2022-23 V2</t>
  </si>
  <si>
    <t>O12300042097</t>
  </si>
  <si>
    <t>177/TV/2022-23 V2</t>
  </si>
  <si>
    <t>O12300041845</t>
  </si>
  <si>
    <t>178/TV/2022-23 V2</t>
  </si>
  <si>
    <t>225007330434</t>
  </si>
  <si>
    <t>179/TV/2022-23 V2</t>
  </si>
  <si>
    <t>180/PR/2022-23 v1</t>
  </si>
  <si>
    <t>TN245</t>
  </si>
  <si>
    <t>PR/042/2022-23</t>
  </si>
  <si>
    <t>181/PR/2022-23</t>
  </si>
  <si>
    <t>VV22223050001439</t>
  </si>
  <si>
    <t>PR/039/2022-23</t>
  </si>
  <si>
    <t>182/PR/2022-23</t>
  </si>
  <si>
    <t>TN242</t>
  </si>
  <si>
    <t>PR/043/2022-23</t>
  </si>
  <si>
    <t>183/PR/2022-23</t>
  </si>
  <si>
    <t>VV22223050001458</t>
  </si>
  <si>
    <t>PR/040/2022-23</t>
  </si>
  <si>
    <t>184/PR/2022-23</t>
  </si>
  <si>
    <t>VV22223050002303</t>
  </si>
  <si>
    <t>PR/066/2022-23</t>
  </si>
  <si>
    <t>185/PR/2022-23</t>
  </si>
  <si>
    <t>AD2210007290</t>
  </si>
  <si>
    <t>194/TV/2022-23</t>
  </si>
  <si>
    <t>225002330377</t>
  </si>
  <si>
    <t>TV/052/22-23</t>
  </si>
  <si>
    <t>195/TV/2022-23</t>
  </si>
  <si>
    <t>225001330240</t>
  </si>
  <si>
    <t>196/TV/2022-23</t>
  </si>
  <si>
    <t>563200086/2022</t>
  </si>
  <si>
    <t>197/TV/2022-23</t>
  </si>
  <si>
    <t>225543330209</t>
  </si>
  <si>
    <t>198/TV/2022-23</t>
  </si>
  <si>
    <t>PN/000339/2223</t>
  </si>
  <si>
    <t>199/TV/2022-23</t>
  </si>
  <si>
    <t>PTV/000583/22-23</t>
  </si>
  <si>
    <t>200/TV/2022-23 V1</t>
  </si>
  <si>
    <t>TV2223B2900116</t>
  </si>
  <si>
    <t>TV/058/22-23</t>
  </si>
  <si>
    <t>201/TV/2022-23</t>
  </si>
  <si>
    <t>ARGE2223000472</t>
  </si>
  <si>
    <t>202/TV/2022-23 v1</t>
  </si>
  <si>
    <t>ARGH222300889</t>
  </si>
  <si>
    <t>ARGH222301020</t>
  </si>
  <si>
    <t>TV/097/22-23</t>
  </si>
  <si>
    <t>203/TV/2022-23 v1</t>
  </si>
  <si>
    <t>AN/22-23/05/0535</t>
  </si>
  <si>
    <t>204/TV/2022-23 V1</t>
  </si>
  <si>
    <t>UPB10574/2223/BV</t>
  </si>
  <si>
    <t>UPB10575/2223/BV</t>
  </si>
  <si>
    <t>205/TV/2022-23</t>
  </si>
  <si>
    <t>KAB10152/2223/TK</t>
  </si>
  <si>
    <t>206/TV/2022-23</t>
  </si>
  <si>
    <t>PN/000340/2223</t>
  </si>
  <si>
    <t>207/TV/2022-23</t>
  </si>
  <si>
    <t>225002330416</t>
  </si>
  <si>
    <t>208/TV/2022-23</t>
  </si>
  <si>
    <t>PTV/000584/22-23</t>
  </si>
  <si>
    <t>209/TV/2022-23 V1</t>
  </si>
  <si>
    <t>V6/22-23/00585</t>
  </si>
  <si>
    <t>210/TV/2022-23</t>
  </si>
  <si>
    <t>TN134TN2220180</t>
  </si>
  <si>
    <t>211/TV/2022-23</t>
  </si>
  <si>
    <t>N/268/22-23</t>
  </si>
  <si>
    <t>212/TV/2022-23</t>
  </si>
  <si>
    <t>2245000343</t>
  </si>
  <si>
    <t>213/PR/2022-23</t>
  </si>
  <si>
    <t>TNCH/2223/000448</t>
  </si>
  <si>
    <t>PR/067/2022-23</t>
  </si>
  <si>
    <t>214/PR/2022-23</t>
  </si>
  <si>
    <t>3300350007</t>
  </si>
  <si>
    <t>221/TV/2022-23</t>
  </si>
  <si>
    <t>SN/22-23/05/0724</t>
  </si>
  <si>
    <t>SN/22-23/05/0725</t>
  </si>
  <si>
    <t>223/PR/2022-23</t>
  </si>
  <si>
    <t>AD/337/AN/22-23</t>
  </si>
  <si>
    <t>PR/045/2022-23</t>
  </si>
  <si>
    <t>224/PR/2022-23</t>
  </si>
  <si>
    <t>TN11243047</t>
  </si>
  <si>
    <t>225/PR/2022-23</t>
  </si>
  <si>
    <t>226/PR/2022-23</t>
  </si>
  <si>
    <t>227/PR/2022-23</t>
  </si>
  <si>
    <t>AD2210008418</t>
  </si>
  <si>
    <t>PR/065/2022-23</t>
  </si>
  <si>
    <t>228/PR/2022-23</t>
  </si>
  <si>
    <t>AK23002633</t>
  </si>
  <si>
    <t>PR/060/2022-23</t>
  </si>
  <si>
    <t>229/PR/2022-23</t>
  </si>
  <si>
    <t>AK23002784</t>
  </si>
  <si>
    <t>PR/086/2022-23</t>
  </si>
  <si>
    <t>AK23002871</t>
  </si>
  <si>
    <t>AK23002928</t>
  </si>
  <si>
    <t>230/TV/2022-23</t>
  </si>
  <si>
    <t>TV2223B2900152</t>
  </si>
  <si>
    <t>231/TV/2022-23</t>
  </si>
  <si>
    <t>ARGE2223000529</t>
  </si>
  <si>
    <t>ARGE2223000541</t>
  </si>
  <si>
    <t>232/TV/2022-23</t>
  </si>
  <si>
    <t>ARGH222301052</t>
  </si>
  <si>
    <t>233/TV/2022-23</t>
  </si>
  <si>
    <t>AN/22-23/06/0695</t>
  </si>
  <si>
    <t>TV/087/22-23</t>
  </si>
  <si>
    <t>234/TV/2022-23</t>
  </si>
  <si>
    <t>UPB10826/2223/BV</t>
  </si>
  <si>
    <t>235/TV/2022-23</t>
  </si>
  <si>
    <t>KAB10282/2223/TK</t>
  </si>
  <si>
    <t>236/TV/2022-23</t>
  </si>
  <si>
    <t>PN/000635/2223</t>
  </si>
  <si>
    <t>237/TV/2022-23</t>
  </si>
  <si>
    <t>225002330467</t>
  </si>
  <si>
    <t>238/TV/2022-23</t>
  </si>
  <si>
    <t>PTV/000693/22-23</t>
  </si>
  <si>
    <t>239/TV/2022-23</t>
  </si>
  <si>
    <t>V6/22-23/00674</t>
  </si>
  <si>
    <t>240/TV/2022-23</t>
  </si>
  <si>
    <t>TN134TN2220243</t>
  </si>
  <si>
    <t>241/TV/2022-23</t>
  </si>
  <si>
    <t>N/436/22-23</t>
  </si>
  <si>
    <t>242/TV/2022-23</t>
  </si>
  <si>
    <t>2245000433</t>
  </si>
  <si>
    <t>243/TV/2022-23</t>
  </si>
  <si>
    <t>SN/22-23/06/0902</t>
  </si>
  <si>
    <t>244/TV/2022-23</t>
  </si>
  <si>
    <t>F29005001288</t>
  </si>
  <si>
    <t>TV/061/2022-23</t>
  </si>
  <si>
    <t>245/TV/2022-23</t>
  </si>
  <si>
    <t>246/TV/2022-23</t>
  </si>
  <si>
    <t>F29005001289</t>
  </si>
  <si>
    <t>247/TV/2022-23</t>
  </si>
  <si>
    <t>223321000309</t>
  </si>
  <si>
    <t>248/TV/2022-23</t>
  </si>
  <si>
    <t>223321000314</t>
  </si>
  <si>
    <t>249/TV/2022-23 v1</t>
  </si>
  <si>
    <t>225013330191</t>
  </si>
  <si>
    <t>250/TV/2022-23 v1</t>
  </si>
  <si>
    <t>225640330039</t>
  </si>
  <si>
    <t>251/TV/2022-23</t>
  </si>
  <si>
    <t>225022330095</t>
  </si>
  <si>
    <t>252/TV/2022-23</t>
  </si>
  <si>
    <t>KAB10155/2223/TK</t>
  </si>
  <si>
    <t>253/TV/2022-23</t>
  </si>
  <si>
    <t>SN/22-23/05/0726</t>
  </si>
  <si>
    <t>254/TV/2022-23</t>
  </si>
  <si>
    <t>TN134KA2220027</t>
  </si>
  <si>
    <t>255/TV/2022-23</t>
  </si>
  <si>
    <t>CANCELLED RO</t>
  </si>
  <si>
    <t>256/TV/2022-23</t>
  </si>
  <si>
    <t>257/TV/2022-23</t>
  </si>
  <si>
    <t>258/TV/2022-23</t>
  </si>
  <si>
    <t>DTV222305000173</t>
  </si>
  <si>
    <t>259/PR/2022-23</t>
  </si>
  <si>
    <t>3300351629</t>
  </si>
  <si>
    <t>3300352029</t>
  </si>
  <si>
    <t>3300352336</t>
  </si>
  <si>
    <t>3300352380</t>
  </si>
  <si>
    <t>260/PR/2022-23</t>
  </si>
  <si>
    <t>AD2210008419</t>
  </si>
  <si>
    <t>PR/068/2022-23</t>
  </si>
  <si>
    <t>261/PR/2022-23</t>
  </si>
  <si>
    <t>TN343</t>
  </si>
  <si>
    <t>TN348</t>
  </si>
  <si>
    <t>TN354</t>
  </si>
  <si>
    <t>262/TV/2022-23</t>
  </si>
  <si>
    <t>223321000331</t>
  </si>
  <si>
    <t>TV/085/2022-23</t>
  </si>
  <si>
    <t>263/TV/2022-23</t>
  </si>
  <si>
    <t>223321000370</t>
  </si>
  <si>
    <t>264/TV/2022-23 v1</t>
  </si>
  <si>
    <t>O12300042604</t>
  </si>
  <si>
    <t>265/TV/2022-23 v1</t>
  </si>
  <si>
    <t>O12300042600</t>
  </si>
  <si>
    <t>266/TV/2022-23 v1</t>
  </si>
  <si>
    <t>O12300042605</t>
  </si>
  <si>
    <t>267/TV/2022-23</t>
  </si>
  <si>
    <t>F29005001569</t>
  </si>
  <si>
    <t>268/TV/2022-23</t>
  </si>
  <si>
    <t>ZA/Z3/22064001M</t>
  </si>
  <si>
    <t>269/TV/2022-23 v1</t>
  </si>
  <si>
    <t>F29005001573</t>
  </si>
  <si>
    <t>270/TV/2022-23</t>
  </si>
  <si>
    <t>225013330238</t>
  </si>
  <si>
    <t>271/TV/2022-23</t>
  </si>
  <si>
    <t>225640330045</t>
  </si>
  <si>
    <t>272/TV/2022-23</t>
  </si>
  <si>
    <t>225022330098</t>
  </si>
  <si>
    <t>273/TV/2022-23</t>
  </si>
  <si>
    <t>KAB10284/2223/TK</t>
  </si>
  <si>
    <t>274/TV/2022-23</t>
  </si>
  <si>
    <t>SN/22-23/06/0903</t>
  </si>
  <si>
    <t>275/TV/2022-23</t>
  </si>
  <si>
    <t>TN134KA2220040</t>
  </si>
  <si>
    <t>276/TV/2022-23</t>
  </si>
  <si>
    <t>DTV222306000004</t>
  </si>
  <si>
    <t>277/TV/2022-23</t>
  </si>
  <si>
    <t>PUBTV2223001041</t>
  </si>
  <si>
    <t>278/PR/2022-23 v1</t>
  </si>
  <si>
    <t>VV2223060000222</t>
  </si>
  <si>
    <t>PR/079/2022-23</t>
  </si>
  <si>
    <t>279/PR/2022-23</t>
  </si>
  <si>
    <t>HU/22-06/1675</t>
  </si>
  <si>
    <t>HU/22-06/1724</t>
  </si>
  <si>
    <t>HU/22-06/1754</t>
  </si>
  <si>
    <t>283/TV/2022-23</t>
  </si>
  <si>
    <t>NFK/0300/22-23</t>
  </si>
  <si>
    <t>284/PR/2022-23</t>
  </si>
  <si>
    <t>MDS-2223-0600007</t>
  </si>
  <si>
    <t>285/PR/2022-23 v1</t>
  </si>
  <si>
    <t>AD2210011005</t>
  </si>
  <si>
    <t>286/PR/2022-23</t>
  </si>
  <si>
    <t>CPHU220600006</t>
  </si>
  <si>
    <t>CPHU220600007</t>
  </si>
  <si>
    <t>CPHU220600009</t>
  </si>
  <si>
    <t>287/PR/2022-23</t>
  </si>
  <si>
    <t>288/PR/2022-23</t>
  </si>
  <si>
    <t>VV2223060000548</t>
  </si>
  <si>
    <t>289/PR/2022-23</t>
  </si>
  <si>
    <t>TNI1248121</t>
  </si>
  <si>
    <t>290/PR/2022-23</t>
  </si>
  <si>
    <t>291/PR/2022-23</t>
  </si>
  <si>
    <t>CBEMAB222300698</t>
  </si>
  <si>
    <t>292/TV/2022-23</t>
  </si>
  <si>
    <t>223321000349</t>
  </si>
  <si>
    <t>293/TV/2022-23</t>
  </si>
  <si>
    <t>223321000371</t>
  </si>
  <si>
    <t>294/TV/2022-23</t>
  </si>
  <si>
    <t>O12300042603</t>
  </si>
  <si>
    <t>295/TV/2022-23</t>
  </si>
  <si>
    <t>O12300042602</t>
  </si>
  <si>
    <t>296/TV/2022-23</t>
  </si>
  <si>
    <t>O12300042601</t>
  </si>
  <si>
    <t>297/TV/2022-23</t>
  </si>
  <si>
    <t>F29005001570</t>
  </si>
  <si>
    <t>F29005001571</t>
  </si>
  <si>
    <t>F29005001572</t>
  </si>
  <si>
    <t>298/TV/2022-23</t>
  </si>
  <si>
    <t>ZA/Z3/22064007M</t>
  </si>
  <si>
    <t>ZA/Z3/22064013M</t>
  </si>
  <si>
    <t>ZA/Z3/22064014M</t>
  </si>
  <si>
    <t>299/TV/2022-23</t>
  </si>
  <si>
    <t>F29005001574</t>
  </si>
  <si>
    <t>F29005001575</t>
  </si>
  <si>
    <t>300/TV/2022-23</t>
  </si>
  <si>
    <t>225013330202</t>
  </si>
  <si>
    <t>301/TV/2022-23</t>
  </si>
  <si>
    <t>225640330041</t>
  </si>
  <si>
    <t>302/TV/2022-23</t>
  </si>
  <si>
    <t>225022330100</t>
  </si>
  <si>
    <t>303/TV/2022-23</t>
  </si>
  <si>
    <t>KAB10288/2223/TK</t>
  </si>
  <si>
    <t>304/TV/2022-23</t>
  </si>
  <si>
    <t>SN/22-23/06/0904</t>
  </si>
  <si>
    <t>305/TV/2022-23</t>
  </si>
  <si>
    <t>TN134KA2220041</t>
  </si>
  <si>
    <t>306/TV/2022-23</t>
  </si>
  <si>
    <t>DTV222306000018</t>
  </si>
  <si>
    <t>307/TV/2022-23</t>
  </si>
  <si>
    <t>PUBTV2223001042</t>
  </si>
  <si>
    <t>308/TV/2022-23</t>
  </si>
  <si>
    <t>NFK/0301/22-23</t>
  </si>
  <si>
    <t>309/PR/2022-23</t>
  </si>
  <si>
    <t>AK23002852</t>
  </si>
  <si>
    <t>PR/091/2022-23</t>
  </si>
  <si>
    <t>313/PR/2022-23</t>
  </si>
  <si>
    <t>3300353412</t>
  </si>
  <si>
    <t>PR/092/2022-23</t>
  </si>
  <si>
    <t>314/PR/2022-23</t>
  </si>
  <si>
    <t>062</t>
  </si>
  <si>
    <t>315/PR/2022-23</t>
  </si>
  <si>
    <t>TNI1244179</t>
  </si>
  <si>
    <t>PR/078/2022-23</t>
  </si>
  <si>
    <t>TNI1244558</t>
  </si>
  <si>
    <t>TNI1244871</t>
  </si>
  <si>
    <t>316/PR/2022-23</t>
  </si>
  <si>
    <t>TNI1244180</t>
  </si>
  <si>
    <t>PR/077/22-23</t>
  </si>
  <si>
    <t>TNI1244561</t>
  </si>
  <si>
    <t>TNI1244791</t>
  </si>
  <si>
    <t>317/TV/2022-23</t>
  </si>
  <si>
    <t>NJ/S/00052/22-23</t>
  </si>
  <si>
    <t>TV/076/2022-23</t>
  </si>
  <si>
    <t>318/TV/2022-23</t>
  </si>
  <si>
    <t>NJ/S/00053/22-23</t>
  </si>
  <si>
    <t>TV/075/2022-23</t>
  </si>
  <si>
    <t>319/PR/2022-23</t>
  </si>
  <si>
    <t>320/PR/2022-23</t>
  </si>
  <si>
    <t>AD/355/AN/22-23</t>
  </si>
  <si>
    <t>AD/357/AN/22-23</t>
  </si>
  <si>
    <t>AD/366/AN/22-23</t>
  </si>
  <si>
    <t>321/PR/2022-23</t>
  </si>
  <si>
    <t>AD/356/AN/22-23</t>
  </si>
  <si>
    <t>AD/358/AN/22-23</t>
  </si>
  <si>
    <t>AD/367/AN/22-23</t>
  </si>
  <si>
    <t>322/PR/2022-23</t>
  </si>
  <si>
    <t>MDS-2223-0600015</t>
  </si>
  <si>
    <t>323/PR/2022-23</t>
  </si>
  <si>
    <t>HU/22-06/1820</t>
  </si>
  <si>
    <t>324/PR/2022-23</t>
  </si>
  <si>
    <t>AD2210011006</t>
  </si>
  <si>
    <t>325/PR/2022-23</t>
  </si>
  <si>
    <t>TNCH/2223/000540</t>
  </si>
  <si>
    <t>PR/089/2022-23</t>
  </si>
  <si>
    <t>326/PR/2022-23</t>
  </si>
  <si>
    <t>3300352613</t>
  </si>
  <si>
    <t>327/PR/2022-23 V1</t>
  </si>
  <si>
    <t>TN381</t>
  </si>
  <si>
    <t>PR/088/2022-23</t>
  </si>
  <si>
    <t>TN391</t>
  </si>
  <si>
    <t>TN403</t>
  </si>
  <si>
    <t>TN417</t>
  </si>
  <si>
    <t>TN444</t>
  </si>
  <si>
    <t>328/PR/2022-23 V1</t>
  </si>
  <si>
    <t>TN382</t>
  </si>
  <si>
    <t>TN392</t>
  </si>
  <si>
    <t>TN404</t>
  </si>
  <si>
    <t>TN418</t>
  </si>
  <si>
    <t>329/PR/2022-23</t>
  </si>
  <si>
    <t>TNCH/2223/000584</t>
  </si>
  <si>
    <t>PR/090/2022-23</t>
  </si>
  <si>
    <t>330/PR/2022-23</t>
  </si>
  <si>
    <t>3300353394</t>
  </si>
  <si>
    <t>350/PR/2022-23</t>
  </si>
  <si>
    <t>601041</t>
  </si>
  <si>
    <t>PR/099/2022-23</t>
  </si>
  <si>
    <t>601042</t>
  </si>
  <si>
    <t>353/TV/2022-23</t>
  </si>
  <si>
    <t>225007330841</t>
  </si>
  <si>
    <t>TV/095/22-23</t>
  </si>
  <si>
    <t>354/TV/2022-23</t>
  </si>
  <si>
    <t>563800457/2022</t>
  </si>
  <si>
    <t>355/TV/2022-23</t>
  </si>
  <si>
    <t>225002330567</t>
  </si>
  <si>
    <t>356/TV/2022-23</t>
  </si>
  <si>
    <t>225001330366</t>
  </si>
  <si>
    <t>357/TV/2022-23</t>
  </si>
  <si>
    <t>563200120/2022</t>
  </si>
  <si>
    <t>358/TV/2022-23</t>
  </si>
  <si>
    <t>225543330327</t>
  </si>
  <si>
    <t>359/TV/2022-23</t>
  </si>
  <si>
    <t>PN/000636/2223</t>
  </si>
  <si>
    <t>360/TV/2022-23</t>
  </si>
  <si>
    <t>2815</t>
  </si>
  <si>
    <t>361/TV/2022-23</t>
  </si>
  <si>
    <t>SM/NT/0061/22-23</t>
  </si>
  <si>
    <t>362/TV/2022-23 v2</t>
  </si>
  <si>
    <t>O12300043111</t>
  </si>
  <si>
    <t>TV/093/2022-23</t>
  </si>
  <si>
    <t>363/TV/2022-23 V1</t>
  </si>
  <si>
    <t>O12300043110</t>
  </si>
  <si>
    <t>364/TV/2022-23 v1</t>
  </si>
  <si>
    <t>PN/000634/2223</t>
  </si>
  <si>
    <t>365/TV/2022-23</t>
  </si>
  <si>
    <t>225005330412</t>
  </si>
  <si>
    <t>366/TV/2022-23</t>
  </si>
  <si>
    <t>563300155</t>
  </si>
  <si>
    <t>367/TV/2022-23</t>
  </si>
  <si>
    <t>225002330590</t>
  </si>
  <si>
    <t>368_v1/TV/2022-23</t>
  </si>
  <si>
    <t>O12300042959</t>
  </si>
  <si>
    <t>369/TV/2022-23</t>
  </si>
  <si>
    <t>ZA/55/22064043M</t>
  </si>
  <si>
    <t>370/TV/2022-23</t>
  </si>
  <si>
    <t>F29005001800</t>
  </si>
  <si>
    <t>371/TV/2022-23 v1</t>
  </si>
  <si>
    <t>F29005001799</t>
  </si>
  <si>
    <t>ZA/TM/22064068M</t>
  </si>
  <si>
    <t>372/TV/2022-23</t>
  </si>
  <si>
    <t>373/TV/2022-23 v1</t>
  </si>
  <si>
    <t>374/TV/2022-23</t>
  </si>
  <si>
    <t>375/TV/2022-23 v1</t>
  </si>
  <si>
    <t>500700958/2022</t>
  </si>
  <si>
    <t>500700965/2022</t>
  </si>
  <si>
    <t>376/TV/2022-23 V1</t>
  </si>
  <si>
    <t>225007330870</t>
  </si>
  <si>
    <t>377/TV/2022-23</t>
  </si>
  <si>
    <t>378/TV/2022-23 V1</t>
  </si>
  <si>
    <t>563800476/2022</t>
  </si>
  <si>
    <t>379/PR/2022-23</t>
  </si>
  <si>
    <t>AD2210013883</t>
  </si>
  <si>
    <t>PR/098/2022-23</t>
  </si>
  <si>
    <t>380/PR/2022-23</t>
  </si>
  <si>
    <t>VV2223060002977</t>
  </si>
  <si>
    <t>381/TV/2022-23</t>
  </si>
  <si>
    <t>O12300043109</t>
  </si>
  <si>
    <t>382/TV/2022-23</t>
  </si>
  <si>
    <t>O12300043113</t>
  </si>
  <si>
    <t>383/TV/2022-23</t>
  </si>
  <si>
    <t>225007330871</t>
  </si>
  <si>
    <t>384/TV/2022-23</t>
  </si>
  <si>
    <t>563800475/2022</t>
  </si>
  <si>
    <t>385/PR/2022-23</t>
  </si>
  <si>
    <t>TN514</t>
  </si>
  <si>
    <t>PR/100/2022-23</t>
  </si>
  <si>
    <t>39/TV/2022-23 v1</t>
  </si>
  <si>
    <t>225543330007</t>
  </si>
  <si>
    <t>397/PR/2022-23</t>
  </si>
  <si>
    <t>10017149</t>
  </si>
  <si>
    <t>403/PR/2022-23</t>
  </si>
  <si>
    <t>AD2210014865</t>
  </si>
  <si>
    <t>404/PR/2022-23</t>
  </si>
  <si>
    <t>VV2223070001029</t>
  </si>
  <si>
    <t>405/TV/2022-23</t>
  </si>
  <si>
    <t>N/708/22-23</t>
  </si>
  <si>
    <t>406/TV/2022-23</t>
  </si>
  <si>
    <t>V6/22-23/00984</t>
  </si>
  <si>
    <t>407/TV/2022-23</t>
  </si>
  <si>
    <t>PUBTV2223001517</t>
  </si>
  <si>
    <t>PUBTV2223001736</t>
  </si>
  <si>
    <t>408/TV/2022-23</t>
  </si>
  <si>
    <t>SN/22-23/07/1304</t>
  </si>
  <si>
    <t>SN/22-23/07/1483</t>
  </si>
  <si>
    <t>409/TV/2022-23</t>
  </si>
  <si>
    <t>AN/22-23/07/1019</t>
  </si>
  <si>
    <t>AN/22-23/07/1152</t>
  </si>
  <si>
    <t>410/TV/2022-23</t>
  </si>
  <si>
    <t>2245000632</t>
  </si>
  <si>
    <t>2245000725</t>
  </si>
  <si>
    <t>411/TV/2022-23</t>
  </si>
  <si>
    <t>PN/000939/2223</t>
  </si>
  <si>
    <t>412/TV/2022-23</t>
  </si>
  <si>
    <t>225002330703</t>
  </si>
  <si>
    <t>225002330764</t>
  </si>
  <si>
    <t>413/TV/2022-23</t>
  </si>
  <si>
    <t>PTV/001010/22-23</t>
  </si>
  <si>
    <t>414/PR/2022-23</t>
  </si>
  <si>
    <t>AE22504280</t>
  </si>
  <si>
    <t>417/PR/2022-23</t>
  </si>
  <si>
    <t>TD0432000075</t>
  </si>
  <si>
    <t>418/PR/2022-23</t>
  </si>
  <si>
    <t>3300359825</t>
  </si>
  <si>
    <t>419/PR/2022-23</t>
  </si>
  <si>
    <t>TNCH/2223/000794</t>
  </si>
  <si>
    <t>424/PR/2022-23</t>
  </si>
  <si>
    <t>3300360752</t>
  </si>
  <si>
    <t>3300361530</t>
  </si>
  <si>
    <t>425/PR/2022-23</t>
  </si>
  <si>
    <t>TN645</t>
  </si>
  <si>
    <t>TN652</t>
  </si>
  <si>
    <t>TN664</t>
  </si>
  <si>
    <t>426/PR/2022-23</t>
  </si>
  <si>
    <t>AK23004579</t>
  </si>
  <si>
    <t>AK23004673</t>
  </si>
  <si>
    <t>427/PR/2022-23</t>
  </si>
  <si>
    <t>10020098</t>
  </si>
  <si>
    <t>10020635</t>
  </si>
  <si>
    <t>428/PR/2022-23</t>
  </si>
  <si>
    <t>22230101002276</t>
  </si>
  <si>
    <t>22230101002299</t>
  </si>
  <si>
    <t>22230101002395</t>
  </si>
  <si>
    <t>429/PR/2022-23</t>
  </si>
  <si>
    <t>AE22504521</t>
  </si>
  <si>
    <t>AE22504551</t>
  </si>
  <si>
    <t>AE22504599</t>
  </si>
  <si>
    <t>AE22504600</t>
  </si>
  <si>
    <t>AE22504676</t>
  </si>
  <si>
    <t>430/PR/2022-23</t>
  </si>
  <si>
    <t>3300361354</t>
  </si>
  <si>
    <t>431/PR/2022-23</t>
  </si>
  <si>
    <t>332000000043</t>
  </si>
  <si>
    <t>438/PR/2022-23</t>
  </si>
  <si>
    <t>MI2401100604</t>
  </si>
  <si>
    <t>439/PR/2022-23</t>
  </si>
  <si>
    <t>440/PR/2022-23 v1</t>
  </si>
  <si>
    <t>3300362217</t>
  </si>
  <si>
    <t>3300362485</t>
  </si>
  <si>
    <t>3300362817</t>
  </si>
  <si>
    <t>3300363271</t>
  </si>
  <si>
    <t>3300364120</t>
  </si>
  <si>
    <t>441/PR/2022-23 v1</t>
  </si>
  <si>
    <t>AE22504837</t>
  </si>
  <si>
    <t>AE22504861</t>
  </si>
  <si>
    <t>AE22504891</t>
  </si>
  <si>
    <t>AE22504943</t>
  </si>
  <si>
    <t>AE22505015</t>
  </si>
  <si>
    <t>AE22505047</t>
  </si>
  <si>
    <t>AE22505069</t>
  </si>
  <si>
    <t>442/PR/2022-23 v1</t>
  </si>
  <si>
    <t>AK23004849</t>
  </si>
  <si>
    <t>AK23004987</t>
  </si>
  <si>
    <t>AK23005073</t>
  </si>
  <si>
    <t>AK23005172</t>
  </si>
  <si>
    <t>443/PR/2022-23 V1</t>
  </si>
  <si>
    <t>10023526</t>
  </si>
  <si>
    <t>10023649</t>
  </si>
  <si>
    <t>10026348</t>
  </si>
  <si>
    <t>10027097</t>
  </si>
  <si>
    <t>10027262</t>
  </si>
  <si>
    <t>444/PR/2022-23</t>
  </si>
  <si>
    <t>3300361983</t>
  </si>
  <si>
    <t>445/PR/2022-23</t>
  </si>
  <si>
    <t>TNCH/2223/000866</t>
  </si>
  <si>
    <t>446/PR/2022-23</t>
  </si>
  <si>
    <t>VV2223060002667</t>
  </si>
  <si>
    <t>447/PR/2022-23</t>
  </si>
  <si>
    <t>TN706</t>
  </si>
  <si>
    <t>TN709</t>
  </si>
  <si>
    <t>448/PR/2022-23</t>
  </si>
  <si>
    <t>AK23004964</t>
  </si>
  <si>
    <t>454/PR/2022-23</t>
  </si>
  <si>
    <t>3300362637</t>
  </si>
  <si>
    <t>455/PR/2022-23</t>
  </si>
  <si>
    <t>3300362636</t>
  </si>
  <si>
    <t>456/PR/2022-23</t>
  </si>
  <si>
    <t>TN716</t>
  </si>
  <si>
    <t>471/PR/2022-23</t>
  </si>
  <si>
    <t>NT/22-23/069</t>
  </si>
  <si>
    <t>472/PR/2022-23</t>
  </si>
  <si>
    <t>G007/22-23</t>
  </si>
  <si>
    <t>473/PR/2022-23</t>
  </si>
  <si>
    <t>474/PR/2022-23</t>
  </si>
  <si>
    <t>321000042973</t>
  </si>
  <si>
    <t>475/PR/2022-23</t>
  </si>
  <si>
    <t>482/PR/2022-23</t>
  </si>
  <si>
    <t>483/PR/2022-23</t>
  </si>
  <si>
    <t>484/PR/2022-23</t>
  </si>
  <si>
    <t>485/PR/2022-23</t>
  </si>
  <si>
    <t>486/PR/2022-23</t>
  </si>
  <si>
    <t>491/TV/2022-23</t>
  </si>
  <si>
    <t>492/TV/2022-23</t>
  </si>
  <si>
    <t>493/TV/2022-23</t>
  </si>
  <si>
    <t>494/TV/2022-23</t>
  </si>
  <si>
    <t>495/TV/2022-23</t>
  </si>
  <si>
    <t>496/TV/2022-23</t>
  </si>
  <si>
    <t>502/PR/2022-23</t>
  </si>
  <si>
    <t>503/PR/2022-23</t>
  </si>
  <si>
    <t>504/PR/2022-23</t>
  </si>
  <si>
    <t>505/PR/2022-23</t>
  </si>
  <si>
    <t>506/PR/2022-23 v1</t>
  </si>
  <si>
    <t>507/PR/2022-23</t>
  </si>
  <si>
    <t>508/PR/2022-23</t>
  </si>
  <si>
    <t>509/PR/2022-23</t>
  </si>
  <si>
    <t>516/TV/2022-23</t>
  </si>
  <si>
    <t>517/TV/2022-23</t>
  </si>
  <si>
    <t>518/TV/2022-23</t>
  </si>
  <si>
    <t>519/TV/2022-23</t>
  </si>
  <si>
    <t>520/TV/2022-23</t>
  </si>
  <si>
    <t>521/TV/2022-23</t>
  </si>
  <si>
    <t>522/TV/2022-23</t>
  </si>
  <si>
    <t>523/TV/2022-23</t>
  </si>
  <si>
    <t>524/PR/2022-23</t>
  </si>
  <si>
    <t>527/PR/2022-23</t>
  </si>
  <si>
    <t>528/PR/2022-23</t>
  </si>
  <si>
    <t>529/PR/2022-23</t>
  </si>
  <si>
    <t>530/TV/2022-23</t>
  </si>
  <si>
    <t>531/PR/2022-23</t>
  </si>
  <si>
    <t>532/PR/2022-23</t>
  </si>
  <si>
    <t>533/PR/2022-23</t>
  </si>
  <si>
    <t>543/PR/2022-23</t>
  </si>
  <si>
    <t>544/TV/2022-23</t>
  </si>
  <si>
    <t>545/TV/2022-23</t>
  </si>
  <si>
    <t>546/TV/2022-23</t>
  </si>
  <si>
    <t>547/TV/2022-23 v1</t>
  </si>
  <si>
    <t>548/TV/2022-23 v1</t>
  </si>
  <si>
    <t>549/TV/2022-23 v2</t>
  </si>
  <si>
    <t>559/PR/2022-23</t>
  </si>
  <si>
    <t>560/PR/2022-23</t>
  </si>
  <si>
    <t>561/PR/2022-23</t>
  </si>
  <si>
    <t>562/TV/2022-23</t>
  </si>
  <si>
    <t>563/TV/2022-23</t>
  </si>
  <si>
    <t>564/TV/2022-23 v1</t>
  </si>
  <si>
    <t>565/TV/2022-23 v1</t>
  </si>
  <si>
    <t>566/TV/2022-23</t>
  </si>
  <si>
    <t>567/TV/2022-23</t>
  </si>
  <si>
    <t>568/TV/2022-23</t>
  </si>
  <si>
    <t>569/TV/2022-23</t>
  </si>
  <si>
    <t>570/TV/2022-23 v2</t>
  </si>
  <si>
    <t>571/TV/2022-23 v2</t>
  </si>
  <si>
    <t>572/TV/2022-23</t>
  </si>
  <si>
    <t>573/TV/2022-23</t>
  </si>
  <si>
    <t>574/PR/2022-23</t>
  </si>
  <si>
    <t>575/PR/2022-23</t>
  </si>
  <si>
    <t>Agency</t>
  </si>
  <si>
    <t>ACT_YEAR</t>
  </si>
  <si>
    <t>ACT_MONTH</t>
  </si>
  <si>
    <t>CLIENT</t>
  </si>
  <si>
    <t>CAMPAIGN_NAME</t>
  </si>
  <si>
    <t>DAY</t>
  </si>
  <si>
    <t>PRODUCER</t>
  </si>
  <si>
    <t>AOR_COMM</t>
  </si>
  <si>
    <t>AOR_COMM_SGST</t>
  </si>
  <si>
    <t>AOR_COMM_CGST</t>
  </si>
  <si>
    <t>AOR_COMM_IGST</t>
  </si>
  <si>
    <t>AOR_COST_GST_AMT</t>
  </si>
  <si>
    <t>BILLED</t>
  </si>
  <si>
    <t>BILL_DATE</t>
  </si>
  <si>
    <t>TITLE</t>
  </si>
  <si>
    <t>AGENCY_GSTN</t>
  </si>
  <si>
    <t>CLIENT_GSTN</t>
  </si>
  <si>
    <t>CLIENT_POS</t>
  </si>
  <si>
    <t>VENDOR_GSTN</t>
  </si>
  <si>
    <t>VENDOR_POS</t>
  </si>
  <si>
    <t>RO_NUMBER</t>
  </si>
  <si>
    <t>RO_DATE</t>
  </si>
  <si>
    <t>GROSS RATE</t>
  </si>
  <si>
    <t>GROSS_COST</t>
  </si>
  <si>
    <t>NETT_RATE</t>
  </si>
  <si>
    <t>NETT_COST</t>
  </si>
  <si>
    <t>SUP_BNO</t>
  </si>
  <si>
    <t>SUP_DATE</t>
  </si>
  <si>
    <t>SB_RATE</t>
  </si>
  <si>
    <t>SB-cost</t>
  </si>
  <si>
    <t>BILL_YEAR</t>
  </si>
  <si>
    <t>AOR_COST_AMT</t>
  </si>
  <si>
    <t>BU_POS</t>
  </si>
  <si>
    <t>2025-26</t>
  </si>
  <si>
    <t>33AAPFC4676D1ZE</t>
  </si>
  <si>
    <t>SB-SGST</t>
  </si>
  <si>
    <t>SB-CGST</t>
  </si>
  <si>
    <t>SB-IGST</t>
  </si>
  <si>
    <t>SB-NETT PAYABLE</t>
  </si>
  <si>
    <t>SHOPPERS STOP LIMITED</t>
  </si>
  <si>
    <t>PLATFORM</t>
  </si>
  <si>
    <t>AD UNIT</t>
  </si>
  <si>
    <t>BUY TYPE</t>
  </si>
  <si>
    <t>START DATE</t>
  </si>
  <si>
    <t>END DATE</t>
  </si>
  <si>
    <t>Completed Views</t>
  </si>
  <si>
    <t>Actual Served</t>
  </si>
  <si>
    <t>TARGETING</t>
  </si>
  <si>
    <t>AOR_COMM VALUE</t>
  </si>
  <si>
    <t>OB_NETT BILLED</t>
  </si>
  <si>
    <t xml:space="preserve">PVR </t>
  </si>
  <si>
    <t>CPM</t>
  </si>
  <si>
    <t>Bangalore</t>
  </si>
  <si>
    <t>TAMIL NADU</t>
  </si>
  <si>
    <t>PVR &amp; INOX</t>
  </si>
  <si>
    <t>SUN TV NETWORK LIMITED</t>
  </si>
  <si>
    <t>AMPLE TECHNOLOGIES PRIVATE LIMITED - KARN</t>
  </si>
  <si>
    <t>AMPLE TECHNOLOGIES PRIVATE LIMITED - TN</t>
  </si>
  <si>
    <t>KHUSHI ADVERTISING IDEAS PRIVATE LIMITED</t>
  </si>
  <si>
    <t>MUSIC BROADCAST LIMITED</t>
  </si>
  <si>
    <t>NSO Raipur</t>
  </si>
  <si>
    <t>Raipur</t>
  </si>
  <si>
    <t>13/CI/2025-26</t>
  </si>
  <si>
    <t>TN-0092-APR25</t>
  </si>
  <si>
    <t>CI/067/2025-26</t>
  </si>
  <si>
    <t>Bengaluru New Showroom</t>
  </si>
  <si>
    <t>643/CI/2025-26</t>
  </si>
  <si>
    <t>TN-0442-JUL25</t>
  </si>
  <si>
    <t>CI/144/2025-26</t>
  </si>
  <si>
    <t>Independence Day Offer</t>
  </si>
  <si>
    <t>682/CI/2025-26 V1</t>
  </si>
  <si>
    <t>TN-0543-AUG25</t>
  </si>
  <si>
    <t>CI/165/2025-26</t>
  </si>
  <si>
    <t>Radio Mirchi - Coimbatore</t>
  </si>
  <si>
    <t>ENTERTAINMENT NETWORK (INDIA) LIMITED</t>
  </si>
  <si>
    <t>MALAR PUBLICATIONS LIMITED</t>
  </si>
  <si>
    <t>Hello FM - Coimbatore</t>
  </si>
  <si>
    <t>Radio City - Coimbatore</t>
  </si>
  <si>
    <t>Suryan FM - Coimbatore</t>
  </si>
  <si>
    <t>G Square Realtors Private Limited</t>
  </si>
  <si>
    <t>Media House</t>
  </si>
  <si>
    <t>Activity Month</t>
  </si>
  <si>
    <t>Channels</t>
  </si>
  <si>
    <t>Client</t>
  </si>
  <si>
    <t>Service Charge</t>
  </si>
  <si>
    <t>From</t>
  </si>
  <si>
    <t>To</t>
  </si>
  <si>
    <t>Campaign</t>
  </si>
  <si>
    <t>Media Cost</t>
  </si>
  <si>
    <t xml:space="preserve">GST </t>
  </si>
  <si>
    <t>Total</t>
  </si>
  <si>
    <t>WIDTH</t>
  </si>
  <si>
    <t>SIZE</t>
  </si>
  <si>
    <t>NO OF INS</t>
  </si>
  <si>
    <t xml:space="preserve">HEIGHT </t>
  </si>
  <si>
    <t>ACD / DURATION</t>
  </si>
  <si>
    <t>POSITION</t>
  </si>
  <si>
    <t>FCT / Total Secs - Impressions</t>
  </si>
  <si>
    <t>Total Days</t>
  </si>
  <si>
    <t>Station</t>
  </si>
  <si>
    <t>Coimbatore</t>
  </si>
  <si>
    <t>Total Nett Rate per Sec / CMP - Evening</t>
  </si>
  <si>
    <t>RODP</t>
  </si>
  <si>
    <t>Program</t>
  </si>
  <si>
    <t>Total Nett Rate per Sec / Impressions Per Day - Morning</t>
  </si>
  <si>
    <t>Total Spots / CPM</t>
  </si>
  <si>
    <t>Medium</t>
  </si>
  <si>
    <t>RO Date</t>
  </si>
  <si>
    <t>RO 001</t>
  </si>
  <si>
    <t>RO 002</t>
  </si>
  <si>
    <t>RO 003</t>
  </si>
  <si>
    <t>RO 004</t>
  </si>
  <si>
    <t>RA</t>
  </si>
  <si>
    <t>Tamil New Year Campaign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</si>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</sst>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 * #,##0.00_ ;_ * \-#,##0.00_ ;_ * &quot;-&quot;??_ ;_ @_ "/>
    <numFmt numFmtId="165" formatCode="dddd"/>
    <numFmt numFmtId="166" formatCode="0.0%"/>
    <numFmt numFmtId="167" formatCode="_ * #,##0_ ;_ * \-#,##0_ ;_ * &quot;-&quot;??_ ;_ @_ "/>
    <numFmt numFmtId="168" formatCode="mm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 Light"/>
      <family val="2"/>
    </font>
    <font>
      <sz val="10"/>
      <name val="Tahoma"/>
      <family val="2"/>
    </font>
    <font>
      <sz val="10"/>
      <color rgb="FFFF0000"/>
      <name val="Tahoma"/>
      <family val="2"/>
    </font>
    <font>
      <sz val="10"/>
      <color rgb="FFFF00FF"/>
      <name val="Tahoma"/>
      <family val="2"/>
    </font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0"/>
      <color theme="1" tint="4.9989318521683403E-2"/>
      <name val="Tahoma"/>
      <family val="2"/>
    </font>
    <font>
      <sz val="8"/>
      <name val="Calibri"/>
      <family val="2"/>
      <scheme val="minor"/>
    </font>
    <font>
      <b/>
      <sz val="10"/>
      <color theme="0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color theme="1"/>
      <name val="Tahoma"/>
      <family val="2"/>
    </font>
    <font>
      <sz val="10"/>
      <color theme="0"/>
      <name val="Tahoma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9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</cellStyleXfs>
  <cellXfs count="67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0" fontId="3" fillId="0" borderId="0" xfId="0" applyFont="1"/>
    <xf numFmtId="0" fontId="2" fillId="0" borderId="0" xfId="0" applyFont="1"/>
    <xf numFmtId="14" fontId="3" fillId="0" borderId="0" xfId="0" applyNumberFormat="1" applyFont="1"/>
    <xf numFmtId="0" fontId="3" fillId="0" borderId="0" xfId="0" applyFont="1" applyAlignment="1">
      <alignment horizontal="left"/>
    </xf>
    <xf numFmtId="43" fontId="1" fillId="0" borderId="0" xfId="1" applyFont="1" applyBorder="1"/>
    <xf numFmtId="43" fontId="1" fillId="0" borderId="0" xfId="1" applyFont="1" applyBorder="1" applyAlignment="1">
      <alignment horizontal="right"/>
    </xf>
    <xf numFmtId="14" fontId="3" fillId="2" borderId="0" xfId="0" applyNumberFormat="1" applyFont="1" applyFill="1"/>
    <xf numFmtId="165" fontId="3" fillId="0" borderId="0" xfId="0" applyNumberFormat="1" applyFont="1"/>
    <xf numFmtId="43" fontId="3" fillId="0" borderId="0" xfId="1" applyFont="1" applyFill="1"/>
    <xf numFmtId="43" fontId="3" fillId="0" borderId="0" xfId="0" applyNumberFormat="1" applyFont="1"/>
    <xf numFmtId="166" fontId="3" fillId="0" borderId="0" xfId="2" applyNumberFormat="1" applyFont="1" applyFill="1"/>
    <xf numFmtId="1" fontId="3" fillId="0" borderId="0" xfId="0" applyNumberFormat="1" applyFont="1"/>
    <xf numFmtId="43" fontId="5" fillId="0" borderId="0" xfId="1" applyFont="1" applyFill="1"/>
    <xf numFmtId="0" fontId="3" fillId="2" borderId="0" xfId="0" applyFont="1" applyFill="1"/>
    <xf numFmtId="43" fontId="3" fillId="2" borderId="0" xfId="1" applyFont="1" applyFill="1"/>
    <xf numFmtId="3" fontId="3" fillId="2" borderId="0" xfId="0" applyNumberFormat="1" applyFont="1" applyFill="1"/>
    <xf numFmtId="0" fontId="0" fillId="3" borderId="0" xfId="0" applyFill="1"/>
    <xf numFmtId="0" fontId="3" fillId="0" borderId="0" xfId="0" quotePrefix="1" applyFont="1"/>
    <xf numFmtId="0" fontId="9" fillId="0" borderId="1" xfId="4" applyNumberFormat="1" applyFont="1" applyFill="1" applyBorder="1" applyAlignment="1">
      <alignment horizontal="center" vertical="center"/>
    </xf>
    <xf numFmtId="167" fontId="9" fillId="0" borderId="1" xfId="4" applyNumberFormat="1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horizontal="center" vertical="center"/>
    </xf>
    <xf numFmtId="164" fontId="13" fillId="4" borderId="1" xfId="4" applyFont="1" applyFill="1" applyBorder="1" applyAlignment="1">
      <alignment horizontal="center" vertical="center" wrapText="1"/>
    </xf>
    <xf numFmtId="0" fontId="13" fillId="4" borderId="1" xfId="4" applyNumberFormat="1" applyFont="1" applyFill="1" applyBorder="1" applyAlignment="1">
      <alignment horizontal="center" vertical="center" wrapText="1"/>
    </xf>
    <xf numFmtId="14" fontId="13" fillId="4" borderId="1" xfId="4" applyNumberFormat="1" applyFont="1" applyFill="1" applyBorder="1" applyAlignment="1">
      <alignment horizontal="center" vertical="center" wrapText="1"/>
    </xf>
    <xf numFmtId="167" fontId="13" fillId="4" borderId="1" xfId="4" applyNumberFormat="1" applyFont="1" applyFill="1" applyBorder="1" applyAlignment="1">
      <alignment horizontal="center" vertical="center" wrapText="1"/>
    </xf>
    <xf numFmtId="0" fontId="13" fillId="4" borderId="1" xfId="1" applyNumberFormat="1" applyFont="1" applyFill="1" applyBorder="1" applyAlignment="1">
      <alignment horizontal="center" vertical="center" wrapText="1"/>
    </xf>
    <xf numFmtId="164" fontId="9" fillId="0" borderId="1" xfId="4" applyFont="1" applyFill="1" applyBorder="1" applyAlignment="1">
      <alignment horizontal="center" vertical="center"/>
    </xf>
    <xf numFmtId="0" fontId="9" fillId="0" borderId="0" xfId="4" applyNumberFormat="1" applyFont="1" applyFill="1" applyBorder="1" applyAlignment="1">
      <alignment horizontal="center" vertical="center"/>
    </xf>
    <xf numFmtId="167" fontId="6" fillId="0" borderId="1" xfId="4" applyNumberFormat="1" applyFont="1" applyFill="1" applyBorder="1" applyAlignment="1">
      <alignment horizontal="center" vertical="center"/>
    </xf>
    <xf numFmtId="0" fontId="13" fillId="0" borderId="0" xfId="5" applyFont="1" applyAlignment="1">
      <alignment horizontal="center" vertical="center" wrapText="1"/>
    </xf>
    <xf numFmtId="0" fontId="17" fillId="4" borderId="1" xfId="4" applyNumberFormat="1" applyFont="1" applyFill="1" applyBorder="1" applyAlignment="1">
      <alignment horizontal="center" vertical="center" wrapText="1"/>
    </xf>
    <xf numFmtId="15" fontId="9" fillId="0" borderId="1" xfId="4" applyNumberFormat="1" applyFont="1" applyFill="1" applyBorder="1" applyAlignment="1">
      <alignment horizontal="center" vertical="center"/>
    </xf>
    <xf numFmtId="168" fontId="9" fillId="0" borderId="1" xfId="4" applyNumberFormat="1" applyFont="1" applyFill="1" applyBorder="1" applyAlignment="1">
      <alignment horizontal="center" vertical="center"/>
    </xf>
    <xf numFmtId="0" fontId="9" fillId="0" borderId="1" xfId="5" applyFont="1" applyBorder="1" applyAlignment="1">
      <alignment horizontal="center" vertical="center"/>
    </xf>
    <xf numFmtId="0" fontId="9" fillId="0" borderId="1" xfId="4" applyNumberFormat="1" applyFont="1" applyFill="1" applyBorder="1" applyAlignment="1">
      <alignment horizontal="center" vertical="center" wrapText="1"/>
    </xf>
    <xf numFmtId="14" fontId="9" fillId="0" borderId="1" xfId="4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6" fillId="0" borderId="1" xfId="1" applyNumberFormat="1" applyFont="1" applyFill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6" fillId="0" borderId="0" xfId="5" applyFont="1" applyAlignment="1">
      <alignment horizontal="center" vertical="center"/>
    </xf>
    <xf numFmtId="168" fontId="18" fillId="0" borderId="1" xfId="4" applyNumberFormat="1" applyFont="1" applyFill="1" applyBorder="1" applyAlignment="1">
      <alignment horizontal="center" vertical="center"/>
    </xf>
    <xf numFmtId="0" fontId="18" fillId="0" borderId="1" xfId="5" applyFont="1" applyBorder="1" applyAlignment="1">
      <alignment horizontal="center" vertical="center"/>
    </xf>
    <xf numFmtId="0" fontId="18" fillId="0" borderId="1" xfId="4" applyNumberFormat="1" applyFont="1" applyFill="1" applyBorder="1" applyAlignment="1">
      <alignment horizontal="center" vertical="center"/>
    </xf>
    <xf numFmtId="0" fontId="18" fillId="0" borderId="1" xfId="4" applyNumberFormat="1" applyFont="1" applyFill="1" applyBorder="1" applyAlignment="1">
      <alignment horizontal="center" vertical="center" wrapText="1"/>
    </xf>
    <xf numFmtId="164" fontId="7" fillId="0" borderId="1" xfId="4" applyFont="1" applyFill="1" applyBorder="1" applyAlignment="1">
      <alignment horizontal="center" vertical="center"/>
    </xf>
    <xf numFmtId="15" fontId="9" fillId="0" borderId="1" xfId="5" applyNumberFormat="1" applyFont="1" applyBorder="1" applyAlignment="1">
      <alignment horizontal="center" vertical="center"/>
    </xf>
    <xf numFmtId="168" fontId="9" fillId="0" borderId="1" xfId="5" applyNumberFormat="1" applyFont="1" applyBorder="1" applyAlignment="1">
      <alignment horizontal="center" vertical="center"/>
    </xf>
    <xf numFmtId="0" fontId="4" fillId="0" borderId="0" xfId="5" applyFont="1" applyAlignment="1">
      <alignment horizontal="center" vertical="center"/>
    </xf>
    <xf numFmtId="0" fontId="14" fillId="0" borderId="0" xfId="5" applyFont="1" applyAlignment="1">
      <alignment horizontal="center" vertical="center"/>
    </xf>
    <xf numFmtId="0" fontId="15" fillId="0" borderId="0" xfId="5" applyFont="1" applyAlignment="1">
      <alignment horizontal="center" vertical="center"/>
    </xf>
    <xf numFmtId="0" fontId="7" fillId="0" borderId="0" xfId="5" applyFont="1" applyAlignment="1">
      <alignment horizontal="center" vertical="center"/>
    </xf>
    <xf numFmtId="0" fontId="9" fillId="0" borderId="1" xfId="5" applyFont="1" applyBorder="1" applyAlignment="1">
      <alignment horizontal="center" vertical="center" wrapText="1"/>
    </xf>
    <xf numFmtId="14" fontId="9" fillId="0" borderId="1" xfId="5" applyNumberFormat="1" applyFont="1" applyBorder="1" applyAlignment="1">
      <alignment horizontal="center" vertical="center"/>
    </xf>
    <xf numFmtId="167" fontId="15" fillId="0" borderId="1" xfId="1" applyNumberFormat="1" applyFont="1" applyFill="1" applyBorder="1" applyAlignment="1">
      <alignment horizontal="center" vertical="center"/>
    </xf>
    <xf numFmtId="167" fontId="15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1" xfId="5" applyFont="1" applyBorder="1" applyAlignment="1">
      <alignment horizontal="center" vertical="center"/>
    </xf>
    <xf numFmtId="0" fontId="11" fillId="0" borderId="0" xfId="5" applyFont="1" applyAlignment="1">
      <alignment horizontal="center" vertical="center"/>
    </xf>
    <xf numFmtId="0" fontId="9" fillId="0" borderId="1" xfId="5" applyFont="1" applyBorder="1" applyAlignment="1" applyProtection="1">
      <alignment horizontal="center" vertical="center"/>
      <protection locked="0"/>
    </xf>
    <xf numFmtId="0" fontId="8" fillId="0" borderId="0" xfId="5" applyFont="1" applyAlignment="1">
      <alignment horizontal="center" vertical="center"/>
    </xf>
    <xf numFmtId="167" fontId="9" fillId="0" borderId="3" xfId="4" applyNumberFormat="1" applyFont="1" applyFill="1" applyBorder="1" applyAlignment="1">
      <alignment horizontal="center" vertical="center"/>
    </xf>
    <xf numFmtId="167" fontId="9" fillId="0" borderId="2" xfId="4" applyNumberFormat="1" applyFont="1" applyFill="1" applyBorder="1" applyAlignment="1">
      <alignment horizontal="center" vertical="center"/>
    </xf>
  </cellXfs>
  <cellStyles count="16">
    <cellStyle name="Comma" xfId="1" builtinId="3"/>
    <cellStyle name="Comma 2" xfId="3" xr:uid="{00000000-0005-0000-0000-000001000000}"/>
    <cellStyle name="Comma 2 2" xfId="11" xr:uid="{6126A1BD-CCCD-4D76-A230-FAB3B2F55183}"/>
    <cellStyle name="Comma 2 3" xfId="9" xr:uid="{FC4DFA9F-E3BB-4068-8D07-7980BA04F6DD}"/>
    <cellStyle name="Comma 2 4" xfId="13" xr:uid="{4B408338-7362-440D-8893-579C02AB0C85}"/>
    <cellStyle name="Comma 3" xfId="4" xr:uid="{2853DE53-4C18-4AC2-9113-CBF09711ADD3}"/>
    <cellStyle name="Comma 3 2" xfId="10" xr:uid="{69D7784B-7D04-42ED-BEFF-9AFEC121A7C7}"/>
    <cellStyle name="Comma 4" xfId="7" xr:uid="{F9296515-B452-4EE3-A5E7-FE5F3DAB162A}"/>
    <cellStyle name="Comma 5" xfId="14" xr:uid="{A4E23B25-32FB-4C30-961B-5462221303DA}"/>
    <cellStyle name="Normal" xfId="0" builtinId="0"/>
    <cellStyle name="Normal 2" xfId="5" xr:uid="{BB1FEC3C-2F64-496A-90BD-01D58AD60470}"/>
    <cellStyle name="Normal 2 2" xfId="12" xr:uid="{8C434BEE-4F8E-4E7B-B87E-8E50C103BE7F}"/>
    <cellStyle name="Normal 3" xfId="15" xr:uid="{67A6844C-8280-4507-BEC4-9BD052FFECC8}"/>
    <cellStyle name="Normal 4 2" xfId="8" xr:uid="{6E422ABF-E1E3-4A20-93B8-A7E4735A3DBE}"/>
    <cellStyle name="Normal 4 3" xfId="6" xr:uid="{9441F3FE-D778-4E53-A23E-64B525B578D3}"/>
    <cellStyle name="Percent" xfId="2" builtinId="5"/>
  </cellStyles>
  <dxfs count="17">
    <dxf>
      <font>
        <color theme="1" tint="4.9989318521683403E-2"/>
      </font>
      <fill>
        <patternFill>
          <bgColor theme="9"/>
        </patternFill>
      </fill>
    </dxf>
    <dxf>
      <font>
        <color theme="1" tint="4.9989318521683403E-2"/>
      </font>
    </dxf>
    <dxf>
      <font>
        <color rgb="FFFF0000"/>
      </font>
    </dxf>
    <dxf>
      <font>
        <color theme="1" tint="4.9989318521683403E-2"/>
      </font>
    </dxf>
    <dxf>
      <font>
        <color theme="1" tint="4.9989318521683403E-2"/>
      </font>
    </dxf>
    <dxf>
      <font>
        <color theme="1" tint="4.9989318521683403E-2"/>
      </font>
      <fill>
        <patternFill>
          <bgColor theme="9"/>
        </patternFill>
      </fill>
    </dxf>
    <dxf>
      <font>
        <color theme="1" tint="4.9989318521683403E-2"/>
      </font>
      <fill>
        <patternFill>
          <bgColor theme="3" tint="0.59996337778862885"/>
        </patternFill>
      </fill>
    </dxf>
    <dxf>
      <font>
        <color theme="1" tint="4.9989318521683403E-2"/>
      </font>
    </dxf>
    <dxf>
      <font>
        <color rgb="FFFF0000"/>
      </font>
    </dxf>
    <dxf>
      <font>
        <color theme="1" tint="4.9989318521683403E-2"/>
      </font>
    </dxf>
    <dxf>
      <font>
        <color theme="1" tint="4.9989318521683403E-2"/>
      </font>
      <fill>
        <patternFill>
          <bgColor theme="3" tint="0.59996337778862885"/>
        </patternFill>
      </fill>
    </dxf>
    <dxf>
      <font>
        <color theme="1" tint="4.9989318521683403E-2"/>
      </font>
      <fill>
        <patternFill>
          <bgColor theme="9"/>
        </patternFill>
      </fill>
    </dxf>
    <dxf>
      <font>
        <color rgb="FFFF0000"/>
      </font>
    </dxf>
    <dxf>
      <font>
        <color theme="1" tint="4.9989318521683403E-2"/>
      </font>
    </dxf>
    <dxf>
      <font>
        <color theme="1" tint="4.9989318521683403E-2"/>
      </font>
      <fill>
        <patternFill>
          <bgColor theme="3" tint="0.59996337778862885"/>
        </patternFill>
      </fill>
    </dxf>
    <dxf>
      <font>
        <color theme="1" tint="4.9989318521683403E-2"/>
      </font>
      <fill>
        <patternFill>
          <bgColor theme="9"/>
        </patternFill>
      </fill>
    </dxf>
    <dxf>
      <font>
        <color theme="1" tint="4.9989318521683403E-2"/>
      </font>
    </dxf>
  </dxfs>
  <tableStyles count="0" defaultTableStyle="TableStyleMedium2" defaultPivotStyle="PivotStyleLight16"/>
  <colors>
    <mruColors>
      <color rgb="FFE0AACB"/>
      <color rgb="FFCCECFF"/>
      <color rgb="FFFFCCFF"/>
      <color rgb="FFFFFFCC"/>
      <color rgb="FFFFFF66"/>
      <color rgb="FFCCFFFF"/>
      <color rgb="FFFF33CC"/>
      <color rgb="FFFF00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9845958-F839-4283-AB18-D08FA515EF3E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T558"/>
  <sheetViews>
    <sheetView workbookViewId="0">
      <selection activeCell="C91" sqref="C91"/>
    </sheetView>
  </sheetViews>
  <sheetFormatPr defaultRowHeight="14.4" x14ac:dyDescent="0.3"/>
  <cols>
    <col min="1" max="1" width="20.6640625" bestFit="1" customWidth="1"/>
    <col min="2" max="2" width="20.88671875" bestFit="1" customWidth="1"/>
    <col min="3" max="3" width="18" bestFit="1" customWidth="1"/>
    <col min="4" max="4" width="14.88671875" bestFit="1" customWidth="1"/>
    <col min="5" max="5" width="19.88671875" style="4" bestFit="1" customWidth="1"/>
    <col min="8" max="8" width="14" bestFit="1" customWidth="1"/>
  </cols>
  <sheetData>
    <row r="1" spans="1:20" x14ac:dyDescent="0.3">
      <c r="A1" s="3"/>
      <c r="H1" s="6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</row>
    <row r="2" spans="1:20" x14ac:dyDescent="0.3">
      <c r="A2" s="3" t="s">
        <v>13</v>
      </c>
      <c r="B2" t="s">
        <v>14</v>
      </c>
      <c r="C2" t="s">
        <v>15</v>
      </c>
      <c r="D2" t="s">
        <v>16</v>
      </c>
      <c r="E2" s="4" t="s">
        <v>17</v>
      </c>
      <c r="H2" t="s">
        <v>18</v>
      </c>
      <c r="I2" t="s">
        <v>19</v>
      </c>
      <c r="J2" t="s">
        <v>19</v>
      </c>
      <c r="K2" t="s">
        <v>19</v>
      </c>
      <c r="L2" t="s">
        <v>19</v>
      </c>
      <c r="M2" t="s">
        <v>19</v>
      </c>
      <c r="N2" t="s">
        <v>19</v>
      </c>
      <c r="O2" t="s">
        <v>19</v>
      </c>
      <c r="P2" t="s">
        <v>19</v>
      </c>
      <c r="Q2" t="s">
        <v>20</v>
      </c>
    </row>
    <row r="3" spans="1:20" x14ac:dyDescent="0.3">
      <c r="A3" s="3" t="s">
        <v>21</v>
      </c>
      <c r="B3" t="s">
        <v>22</v>
      </c>
      <c r="C3" t="s">
        <v>23</v>
      </c>
      <c r="D3" t="s">
        <v>24</v>
      </c>
      <c r="E3" s="4">
        <v>321644.40000000002</v>
      </c>
      <c r="H3" t="s">
        <v>25</v>
      </c>
      <c r="I3" t="s">
        <v>19</v>
      </c>
      <c r="J3" t="s">
        <v>19</v>
      </c>
      <c r="K3" t="s">
        <v>19</v>
      </c>
      <c r="L3" t="s">
        <v>19</v>
      </c>
      <c r="M3" t="s">
        <v>19</v>
      </c>
      <c r="N3" t="s">
        <v>19</v>
      </c>
      <c r="O3" t="s">
        <v>20</v>
      </c>
    </row>
    <row r="4" spans="1:20" x14ac:dyDescent="0.3">
      <c r="A4" s="3" t="s">
        <v>21</v>
      </c>
      <c r="B4" t="s">
        <v>22</v>
      </c>
      <c r="C4" t="s">
        <v>26</v>
      </c>
      <c r="D4" t="s">
        <v>24</v>
      </c>
      <c r="E4" s="4">
        <v>160822.20000000001</v>
      </c>
      <c r="H4" t="s">
        <v>27</v>
      </c>
      <c r="I4" t="s">
        <v>19</v>
      </c>
      <c r="J4" t="s">
        <v>19</v>
      </c>
      <c r="K4" t="s">
        <v>19</v>
      </c>
      <c r="L4" t="s">
        <v>19</v>
      </c>
      <c r="M4" t="s">
        <v>19</v>
      </c>
      <c r="N4" t="s">
        <v>19</v>
      </c>
      <c r="O4" t="s">
        <v>19</v>
      </c>
      <c r="P4" t="s">
        <v>19</v>
      </c>
      <c r="Q4" t="s">
        <v>28</v>
      </c>
    </row>
    <row r="5" spans="1:20" x14ac:dyDescent="0.3">
      <c r="A5" s="3" t="s">
        <v>21</v>
      </c>
      <c r="B5" t="s">
        <v>22</v>
      </c>
      <c r="C5" t="s">
        <v>29</v>
      </c>
      <c r="D5" t="s">
        <v>24</v>
      </c>
      <c r="E5" s="4">
        <v>0</v>
      </c>
      <c r="H5" t="s">
        <v>30</v>
      </c>
      <c r="I5" t="s">
        <v>19</v>
      </c>
      <c r="J5" t="s">
        <v>19</v>
      </c>
      <c r="K5" t="s">
        <v>19</v>
      </c>
      <c r="L5" t="s">
        <v>19</v>
      </c>
      <c r="M5" t="s">
        <v>19</v>
      </c>
      <c r="N5" t="s">
        <v>19</v>
      </c>
      <c r="O5" t="s">
        <v>19</v>
      </c>
      <c r="P5" t="s">
        <v>19</v>
      </c>
      <c r="Q5" t="s">
        <v>20</v>
      </c>
    </row>
    <row r="6" spans="1:20" x14ac:dyDescent="0.3">
      <c r="A6" s="3" t="s">
        <v>21</v>
      </c>
      <c r="B6" t="s">
        <v>31</v>
      </c>
      <c r="C6" t="s">
        <v>29</v>
      </c>
      <c r="D6" t="s">
        <v>24</v>
      </c>
      <c r="E6" s="4">
        <v>0</v>
      </c>
      <c r="H6" t="s">
        <v>32</v>
      </c>
      <c r="I6" t="s">
        <v>19</v>
      </c>
      <c r="J6" t="s">
        <v>19</v>
      </c>
      <c r="K6" t="s">
        <v>19</v>
      </c>
      <c r="L6" t="s">
        <v>19</v>
      </c>
      <c r="M6" t="s">
        <v>19</v>
      </c>
      <c r="N6" t="s">
        <v>19</v>
      </c>
      <c r="O6" t="s">
        <v>19</v>
      </c>
      <c r="P6" t="s">
        <v>19</v>
      </c>
      <c r="Q6" t="s">
        <v>20</v>
      </c>
    </row>
    <row r="7" spans="1:20" x14ac:dyDescent="0.3">
      <c r="A7" t="s">
        <v>21</v>
      </c>
      <c r="B7" t="s">
        <v>33</v>
      </c>
      <c r="C7" t="s">
        <v>34</v>
      </c>
      <c r="D7" t="s">
        <v>35</v>
      </c>
      <c r="E7" s="4">
        <v>463950</v>
      </c>
      <c r="H7" t="s">
        <v>36</v>
      </c>
      <c r="I7" t="s">
        <v>19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O7" t="s">
        <v>19</v>
      </c>
      <c r="P7" t="s">
        <v>19</v>
      </c>
      <c r="Q7" t="s">
        <v>20</v>
      </c>
    </row>
    <row r="8" spans="1:20" x14ac:dyDescent="0.3">
      <c r="A8" t="s">
        <v>21</v>
      </c>
      <c r="B8" t="s">
        <v>37</v>
      </c>
      <c r="C8" t="s">
        <v>38</v>
      </c>
      <c r="D8" t="s">
        <v>35</v>
      </c>
      <c r="E8" s="4">
        <v>626332.5</v>
      </c>
      <c r="H8" s="6" t="s">
        <v>39</v>
      </c>
    </row>
    <row r="9" spans="1:20" x14ac:dyDescent="0.3">
      <c r="A9" t="s">
        <v>21</v>
      </c>
      <c r="B9" t="s">
        <v>37</v>
      </c>
      <c r="C9" t="s">
        <v>40</v>
      </c>
      <c r="D9" t="s">
        <v>35</v>
      </c>
      <c r="E9" s="4">
        <v>626332.5</v>
      </c>
      <c r="H9" t="s">
        <v>18</v>
      </c>
      <c r="I9" t="s">
        <v>19</v>
      </c>
      <c r="J9" t="s">
        <v>19</v>
      </c>
      <c r="K9" t="s">
        <v>19</v>
      </c>
      <c r="L9" t="s">
        <v>19</v>
      </c>
      <c r="M9" t="s">
        <v>19</v>
      </c>
      <c r="N9" t="s">
        <v>19</v>
      </c>
      <c r="O9" t="s">
        <v>19</v>
      </c>
      <c r="P9" t="s">
        <v>19</v>
      </c>
    </row>
    <row r="10" spans="1:20" x14ac:dyDescent="0.3">
      <c r="A10" t="s">
        <v>21</v>
      </c>
      <c r="B10" t="s">
        <v>41</v>
      </c>
      <c r="C10" t="s">
        <v>42</v>
      </c>
      <c r="D10" t="s">
        <v>42</v>
      </c>
      <c r="E10" s="4">
        <v>0</v>
      </c>
      <c r="H10" t="s">
        <v>25</v>
      </c>
      <c r="I10" t="s">
        <v>19</v>
      </c>
      <c r="J10" t="s">
        <v>19</v>
      </c>
      <c r="K10" t="s">
        <v>19</v>
      </c>
      <c r="L10" t="s">
        <v>19</v>
      </c>
      <c r="M10" t="s">
        <v>19</v>
      </c>
      <c r="N10" t="s">
        <v>19</v>
      </c>
      <c r="O10" t="s">
        <v>19</v>
      </c>
    </row>
    <row r="11" spans="1:20" x14ac:dyDescent="0.3">
      <c r="A11" t="s">
        <v>21</v>
      </c>
      <c r="B11" t="s">
        <v>43</v>
      </c>
      <c r="C11" t="s">
        <v>44</v>
      </c>
      <c r="D11" t="s">
        <v>45</v>
      </c>
      <c r="E11" s="4">
        <v>1874006.5882352937</v>
      </c>
      <c r="H11" t="s">
        <v>27</v>
      </c>
      <c r="I11" t="s">
        <v>19</v>
      </c>
      <c r="J11" t="s">
        <v>19</v>
      </c>
      <c r="K11" t="s">
        <v>19</v>
      </c>
      <c r="L11" t="s">
        <v>19</v>
      </c>
      <c r="M11" t="s">
        <v>19</v>
      </c>
      <c r="N11" t="s">
        <v>19</v>
      </c>
      <c r="O11" t="s">
        <v>19</v>
      </c>
      <c r="P11" t="s">
        <v>19</v>
      </c>
    </row>
    <row r="12" spans="1:20" x14ac:dyDescent="0.3">
      <c r="A12" t="s">
        <v>21</v>
      </c>
      <c r="B12" t="s">
        <v>46</v>
      </c>
      <c r="C12" t="s">
        <v>47</v>
      </c>
      <c r="D12" t="s">
        <v>45</v>
      </c>
      <c r="E12" s="4">
        <v>198395.48235294121</v>
      </c>
      <c r="H12" t="s">
        <v>30</v>
      </c>
      <c r="I12" t="s">
        <v>19</v>
      </c>
      <c r="J12" t="s">
        <v>19</v>
      </c>
      <c r="K12" t="s">
        <v>19</v>
      </c>
      <c r="L12" t="s">
        <v>19</v>
      </c>
      <c r="M12" t="s">
        <v>19</v>
      </c>
      <c r="N12" t="s">
        <v>19</v>
      </c>
      <c r="O12" t="s">
        <v>19</v>
      </c>
      <c r="P12" t="s">
        <v>19</v>
      </c>
    </row>
    <row r="13" spans="1:20" x14ac:dyDescent="0.3">
      <c r="A13" t="s">
        <v>21</v>
      </c>
      <c r="B13" t="s">
        <v>48</v>
      </c>
      <c r="C13" t="s">
        <v>49</v>
      </c>
      <c r="D13" t="s">
        <v>45</v>
      </c>
      <c r="E13" s="4">
        <v>116056.47058823526</v>
      </c>
      <c r="H13" t="s">
        <v>32</v>
      </c>
      <c r="I13" t="s">
        <v>19</v>
      </c>
      <c r="J13" t="s">
        <v>19</v>
      </c>
      <c r="K13" t="s">
        <v>19</v>
      </c>
      <c r="L13" t="s">
        <v>19</v>
      </c>
      <c r="M13" t="s">
        <v>19</v>
      </c>
      <c r="N13" t="s">
        <v>19</v>
      </c>
      <c r="O13" t="s">
        <v>19</v>
      </c>
      <c r="P13" t="s">
        <v>19</v>
      </c>
      <c r="Q13" t="s">
        <v>20</v>
      </c>
    </row>
    <row r="14" spans="1:20" x14ac:dyDescent="0.3">
      <c r="A14" t="s">
        <v>21</v>
      </c>
      <c r="B14" t="s">
        <v>50</v>
      </c>
      <c r="C14" t="s">
        <v>51</v>
      </c>
      <c r="D14" t="s">
        <v>45</v>
      </c>
      <c r="E14" s="4">
        <v>476442.35294117639</v>
      </c>
      <c r="H14" t="s">
        <v>36</v>
      </c>
      <c r="I14" t="s">
        <v>19</v>
      </c>
      <c r="J14" t="s">
        <v>19</v>
      </c>
      <c r="K14" t="s">
        <v>19</v>
      </c>
      <c r="L14" t="s">
        <v>19</v>
      </c>
      <c r="M14" t="s">
        <v>19</v>
      </c>
      <c r="N14" t="s">
        <v>19</v>
      </c>
      <c r="O14" t="s">
        <v>19</v>
      </c>
      <c r="P14" t="s">
        <v>19</v>
      </c>
    </row>
    <row r="15" spans="1:20" x14ac:dyDescent="0.3">
      <c r="A15" t="s">
        <v>21</v>
      </c>
      <c r="B15" t="s">
        <v>52</v>
      </c>
      <c r="C15" t="s">
        <v>53</v>
      </c>
      <c r="D15" t="s">
        <v>45</v>
      </c>
      <c r="E15" s="4">
        <v>0</v>
      </c>
    </row>
    <row r="16" spans="1:20" x14ac:dyDescent="0.3">
      <c r="A16" t="s">
        <v>21</v>
      </c>
      <c r="B16" t="s">
        <v>54</v>
      </c>
      <c r="C16" t="s">
        <v>55</v>
      </c>
      <c r="D16" t="s">
        <v>55</v>
      </c>
      <c r="E16" s="4">
        <v>0</v>
      </c>
    </row>
    <row r="17" spans="1:5" x14ac:dyDescent="0.3">
      <c r="A17" t="s">
        <v>21</v>
      </c>
      <c r="B17" t="s">
        <v>54</v>
      </c>
      <c r="C17" t="s">
        <v>56</v>
      </c>
      <c r="D17" t="s">
        <v>45</v>
      </c>
      <c r="E17" s="4">
        <v>42146.823529411762</v>
      </c>
    </row>
    <row r="18" spans="1:5" x14ac:dyDescent="0.3">
      <c r="A18" t="s">
        <v>21</v>
      </c>
      <c r="B18" t="s">
        <v>57</v>
      </c>
      <c r="C18" t="s">
        <v>58</v>
      </c>
      <c r="D18" t="s">
        <v>45</v>
      </c>
      <c r="E18" s="4">
        <v>2097460.5176470587</v>
      </c>
    </row>
    <row r="19" spans="1:5" x14ac:dyDescent="0.3">
      <c r="A19" t="s">
        <v>21</v>
      </c>
      <c r="B19" t="s">
        <v>59</v>
      </c>
      <c r="C19" t="s">
        <v>58</v>
      </c>
      <c r="D19" t="s">
        <v>45</v>
      </c>
      <c r="E19" s="4">
        <v>0</v>
      </c>
    </row>
    <row r="20" spans="1:5" x14ac:dyDescent="0.3">
      <c r="A20" t="s">
        <v>21</v>
      </c>
      <c r="B20" t="s">
        <v>60</v>
      </c>
      <c r="C20">
        <v>159.12</v>
      </c>
      <c r="D20" t="s">
        <v>45</v>
      </c>
      <c r="E20" s="4">
        <v>24298.559999999998</v>
      </c>
    </row>
    <row r="21" spans="1:5" x14ac:dyDescent="0.3">
      <c r="A21" t="s">
        <v>21</v>
      </c>
      <c r="B21" t="s">
        <v>61</v>
      </c>
      <c r="C21" t="s">
        <v>62</v>
      </c>
      <c r="D21" t="s">
        <v>45</v>
      </c>
      <c r="E21" s="4">
        <v>122164.70588235288</v>
      </c>
    </row>
    <row r="22" spans="1:5" x14ac:dyDescent="0.3">
      <c r="A22" t="s">
        <v>21</v>
      </c>
      <c r="B22" t="s">
        <v>63</v>
      </c>
      <c r="C22" t="s">
        <v>64</v>
      </c>
      <c r="D22" t="s">
        <v>45</v>
      </c>
      <c r="E22" s="4">
        <v>0</v>
      </c>
    </row>
    <row r="23" spans="1:5" x14ac:dyDescent="0.3">
      <c r="A23" t="s">
        <v>21</v>
      </c>
      <c r="B23" t="s">
        <v>65</v>
      </c>
      <c r="C23" t="s">
        <v>66</v>
      </c>
      <c r="D23" t="s">
        <v>45</v>
      </c>
      <c r="E23" s="4">
        <v>19546.352941176468</v>
      </c>
    </row>
    <row r="24" spans="1:5" x14ac:dyDescent="0.3">
      <c r="A24" t="s">
        <v>21</v>
      </c>
      <c r="B24" t="s">
        <v>67</v>
      </c>
      <c r="C24" t="s">
        <v>68</v>
      </c>
      <c r="D24" t="s">
        <v>45</v>
      </c>
      <c r="E24" s="4">
        <v>103351.34117647047</v>
      </c>
    </row>
    <row r="25" spans="1:5" x14ac:dyDescent="0.3">
      <c r="A25" t="s">
        <v>21</v>
      </c>
      <c r="B25" t="s">
        <v>67</v>
      </c>
      <c r="C25" t="s">
        <v>55</v>
      </c>
      <c r="D25" t="s">
        <v>55</v>
      </c>
      <c r="E25" s="4">
        <v>0</v>
      </c>
    </row>
    <row r="26" spans="1:5" x14ac:dyDescent="0.3">
      <c r="A26" t="s">
        <v>21</v>
      </c>
      <c r="B26" t="s">
        <v>69</v>
      </c>
      <c r="C26" t="s">
        <v>70</v>
      </c>
      <c r="D26" t="s">
        <v>45</v>
      </c>
      <c r="E26" s="4">
        <v>134381.17647058822</v>
      </c>
    </row>
    <row r="27" spans="1:5" x14ac:dyDescent="0.3">
      <c r="A27" t="s">
        <v>21</v>
      </c>
      <c r="B27" t="s">
        <v>71</v>
      </c>
      <c r="C27" t="s">
        <v>72</v>
      </c>
      <c r="D27" t="s">
        <v>45</v>
      </c>
      <c r="E27" s="4">
        <v>77880.000000000015</v>
      </c>
    </row>
    <row r="28" spans="1:5" x14ac:dyDescent="0.3">
      <c r="A28" t="s">
        <v>21</v>
      </c>
      <c r="B28" t="s">
        <v>73</v>
      </c>
      <c r="C28">
        <v>545</v>
      </c>
      <c r="D28" t="s">
        <v>45</v>
      </c>
      <c r="E28" s="4">
        <v>58639.058823529405</v>
      </c>
    </row>
    <row r="29" spans="1:5" x14ac:dyDescent="0.3">
      <c r="A29" t="s">
        <v>21</v>
      </c>
      <c r="B29" t="s">
        <v>74</v>
      </c>
      <c r="C29">
        <v>859</v>
      </c>
      <c r="D29" t="s">
        <v>45</v>
      </c>
      <c r="E29" s="4">
        <v>24432.941176470573</v>
      </c>
    </row>
    <row r="30" spans="1:5" x14ac:dyDescent="0.3">
      <c r="A30" t="s">
        <v>21</v>
      </c>
      <c r="B30" t="s">
        <v>75</v>
      </c>
      <c r="C30">
        <v>210</v>
      </c>
      <c r="D30" t="s">
        <v>45</v>
      </c>
      <c r="E30" s="4">
        <v>25960.000000000011</v>
      </c>
    </row>
    <row r="31" spans="1:5" x14ac:dyDescent="0.3">
      <c r="A31" t="s">
        <v>21</v>
      </c>
      <c r="B31" t="s">
        <v>76</v>
      </c>
      <c r="C31" t="s">
        <v>77</v>
      </c>
      <c r="D31" t="s">
        <v>45</v>
      </c>
      <c r="E31" s="4">
        <v>62548.329411764724</v>
      </c>
    </row>
    <row r="32" spans="1:5" x14ac:dyDescent="0.3">
      <c r="A32" t="s">
        <v>21</v>
      </c>
      <c r="B32" t="s">
        <v>78</v>
      </c>
      <c r="C32">
        <v>368385</v>
      </c>
      <c r="D32" t="s">
        <v>45</v>
      </c>
      <c r="E32" s="4">
        <v>0</v>
      </c>
    </row>
    <row r="33" spans="1:5" x14ac:dyDescent="0.3">
      <c r="A33" t="s">
        <v>21</v>
      </c>
      <c r="B33" t="s">
        <v>79</v>
      </c>
      <c r="C33" t="s">
        <v>80</v>
      </c>
      <c r="D33" t="s">
        <v>45</v>
      </c>
      <c r="E33" s="4">
        <v>54974.117647058752</v>
      </c>
    </row>
    <row r="34" spans="1:5" x14ac:dyDescent="0.3">
      <c r="A34" t="s">
        <v>21</v>
      </c>
      <c r="B34" t="s">
        <v>81</v>
      </c>
      <c r="C34" t="s">
        <v>82</v>
      </c>
      <c r="D34" t="s">
        <v>35</v>
      </c>
      <c r="E34" s="4">
        <v>92790</v>
      </c>
    </row>
    <row r="35" spans="1:5" x14ac:dyDescent="0.3">
      <c r="A35" t="s">
        <v>21</v>
      </c>
      <c r="B35" t="s">
        <v>81</v>
      </c>
      <c r="C35" t="s">
        <v>83</v>
      </c>
      <c r="D35" t="s">
        <v>35</v>
      </c>
      <c r="E35" s="4">
        <v>0</v>
      </c>
    </row>
    <row r="36" spans="1:5" x14ac:dyDescent="0.3">
      <c r="A36" t="s">
        <v>21</v>
      </c>
      <c r="B36" t="s">
        <v>81</v>
      </c>
      <c r="C36" t="s">
        <v>84</v>
      </c>
      <c r="D36" t="s">
        <v>35</v>
      </c>
      <c r="E36" s="4">
        <v>92790</v>
      </c>
    </row>
    <row r="37" spans="1:5" x14ac:dyDescent="0.3">
      <c r="A37" t="s">
        <v>21</v>
      </c>
      <c r="B37" t="s">
        <v>81</v>
      </c>
      <c r="C37" t="s">
        <v>85</v>
      </c>
      <c r="D37" t="s">
        <v>35</v>
      </c>
      <c r="E37" s="4">
        <v>0</v>
      </c>
    </row>
    <row r="38" spans="1:5" x14ac:dyDescent="0.3">
      <c r="A38" t="s">
        <v>21</v>
      </c>
      <c r="B38" t="s">
        <v>86</v>
      </c>
      <c r="C38" t="s">
        <v>87</v>
      </c>
      <c r="D38" t="s">
        <v>35</v>
      </c>
      <c r="E38" s="4">
        <v>46395</v>
      </c>
    </row>
    <row r="39" spans="1:5" x14ac:dyDescent="0.3">
      <c r="A39" t="s">
        <v>21</v>
      </c>
      <c r="B39" t="s">
        <v>88</v>
      </c>
      <c r="C39" t="s">
        <v>89</v>
      </c>
      <c r="D39" t="s">
        <v>35</v>
      </c>
      <c r="E39" s="4">
        <v>69592.5</v>
      </c>
    </row>
    <row r="40" spans="1:5" x14ac:dyDescent="0.3">
      <c r="A40" t="s">
        <v>21</v>
      </c>
      <c r="B40" t="s">
        <v>90</v>
      </c>
      <c r="C40" t="s">
        <v>91</v>
      </c>
      <c r="D40" t="s">
        <v>92</v>
      </c>
      <c r="E40" s="4">
        <v>286138.20000000024</v>
      </c>
    </row>
    <row r="41" spans="1:5" x14ac:dyDescent="0.3">
      <c r="A41" t="s">
        <v>21</v>
      </c>
      <c r="B41" t="s">
        <v>90</v>
      </c>
      <c r="C41" t="s">
        <v>55</v>
      </c>
      <c r="D41" t="s">
        <v>55</v>
      </c>
      <c r="E41" s="4">
        <v>0</v>
      </c>
    </row>
    <row r="42" spans="1:5" x14ac:dyDescent="0.3">
      <c r="A42" t="s">
        <v>21</v>
      </c>
      <c r="B42" t="s">
        <v>93</v>
      </c>
      <c r="C42" t="s">
        <v>94</v>
      </c>
      <c r="D42" t="s">
        <v>92</v>
      </c>
      <c r="E42" s="4">
        <v>195492.95999999967</v>
      </c>
    </row>
    <row r="43" spans="1:5" x14ac:dyDescent="0.3">
      <c r="A43" t="s">
        <v>21</v>
      </c>
      <c r="B43" t="s">
        <v>95</v>
      </c>
      <c r="C43" t="s">
        <v>96</v>
      </c>
      <c r="D43" t="s">
        <v>92</v>
      </c>
      <c r="E43" s="4">
        <v>88458.352941176403</v>
      </c>
    </row>
    <row r="44" spans="1:5" x14ac:dyDescent="0.3">
      <c r="A44" t="s">
        <v>21</v>
      </c>
      <c r="B44" t="s">
        <v>97</v>
      </c>
      <c r="C44" t="s">
        <v>66</v>
      </c>
      <c r="D44" t="s">
        <v>45</v>
      </c>
      <c r="E44" s="4">
        <v>7329.8823529411775</v>
      </c>
    </row>
    <row r="45" spans="1:5" x14ac:dyDescent="0.3">
      <c r="A45" t="s">
        <v>21</v>
      </c>
      <c r="B45" t="s">
        <v>98</v>
      </c>
      <c r="C45" t="s">
        <v>99</v>
      </c>
      <c r="D45" t="s">
        <v>92</v>
      </c>
      <c r="E45" s="4">
        <v>127158.88235294107</v>
      </c>
    </row>
    <row r="46" spans="1:5" x14ac:dyDescent="0.3">
      <c r="A46" t="s">
        <v>21</v>
      </c>
      <c r="B46" t="s">
        <v>98</v>
      </c>
      <c r="C46" t="s">
        <v>100</v>
      </c>
      <c r="D46" t="s">
        <v>92</v>
      </c>
      <c r="E46" s="4">
        <v>5528.6470588235297</v>
      </c>
    </row>
    <row r="47" spans="1:5" x14ac:dyDescent="0.3">
      <c r="A47" t="s">
        <v>21</v>
      </c>
      <c r="B47" t="s">
        <v>101</v>
      </c>
      <c r="C47" t="s">
        <v>102</v>
      </c>
      <c r="D47" t="s">
        <v>92</v>
      </c>
      <c r="E47" s="4">
        <v>196082.6823529411</v>
      </c>
    </row>
    <row r="48" spans="1:5" x14ac:dyDescent="0.3">
      <c r="A48" t="s">
        <v>21</v>
      </c>
      <c r="B48" t="s">
        <v>103</v>
      </c>
      <c r="C48" t="s">
        <v>104</v>
      </c>
      <c r="D48" t="s">
        <v>105</v>
      </c>
      <c r="E48" s="4">
        <v>82929.705882352908</v>
      </c>
    </row>
    <row r="49" spans="1:5" x14ac:dyDescent="0.3">
      <c r="A49" t="s">
        <v>21</v>
      </c>
      <c r="B49" t="s">
        <v>106</v>
      </c>
      <c r="C49" t="s">
        <v>107</v>
      </c>
      <c r="D49" t="s">
        <v>105</v>
      </c>
      <c r="E49" s="4">
        <v>344434.71176470525</v>
      </c>
    </row>
    <row r="50" spans="1:5" x14ac:dyDescent="0.3">
      <c r="A50" t="s">
        <v>21</v>
      </c>
      <c r="B50" t="s">
        <v>106</v>
      </c>
      <c r="C50" t="s">
        <v>55</v>
      </c>
      <c r="D50" t="s">
        <v>55</v>
      </c>
      <c r="E50" s="4">
        <v>0</v>
      </c>
    </row>
    <row r="51" spans="1:5" x14ac:dyDescent="0.3">
      <c r="A51" t="s">
        <v>21</v>
      </c>
      <c r="B51" t="s">
        <v>108</v>
      </c>
      <c r="C51" t="s">
        <v>109</v>
      </c>
      <c r="D51" t="s">
        <v>105</v>
      </c>
      <c r="E51" s="4">
        <v>199031.29411764722</v>
      </c>
    </row>
    <row r="52" spans="1:5" x14ac:dyDescent="0.3">
      <c r="A52" t="s">
        <v>21</v>
      </c>
      <c r="B52" t="s">
        <v>110</v>
      </c>
      <c r="C52" t="s">
        <v>111</v>
      </c>
      <c r="D52" t="s">
        <v>112</v>
      </c>
      <c r="E52" s="4">
        <v>52468.574117647062</v>
      </c>
    </row>
    <row r="53" spans="1:5" x14ac:dyDescent="0.3">
      <c r="A53" t="s">
        <v>21</v>
      </c>
      <c r="B53" t="s">
        <v>110</v>
      </c>
      <c r="C53" t="s">
        <v>113</v>
      </c>
      <c r="D53" t="s">
        <v>112</v>
      </c>
      <c r="E53" s="4">
        <v>52468.574117647062</v>
      </c>
    </row>
    <row r="54" spans="1:5" x14ac:dyDescent="0.3">
      <c r="A54" t="s">
        <v>21</v>
      </c>
      <c r="B54" t="s">
        <v>110</v>
      </c>
      <c r="C54" t="s">
        <v>114</v>
      </c>
      <c r="D54" t="s">
        <v>112</v>
      </c>
      <c r="E54" s="4">
        <v>52468.574117647062</v>
      </c>
    </row>
    <row r="55" spans="1:5" x14ac:dyDescent="0.3">
      <c r="A55" t="s">
        <v>21</v>
      </c>
      <c r="B55" t="s">
        <v>110</v>
      </c>
      <c r="C55" t="s">
        <v>53</v>
      </c>
      <c r="D55" t="s">
        <v>112</v>
      </c>
      <c r="E55" s="4">
        <v>0</v>
      </c>
    </row>
    <row r="56" spans="1:5" x14ac:dyDescent="0.3">
      <c r="A56" t="s">
        <v>21</v>
      </c>
      <c r="B56" t="s">
        <v>115</v>
      </c>
      <c r="C56" t="s">
        <v>116</v>
      </c>
      <c r="D56" t="s">
        <v>117</v>
      </c>
      <c r="E56" s="4">
        <v>70686</v>
      </c>
    </row>
    <row r="57" spans="1:5" x14ac:dyDescent="0.3">
      <c r="A57" t="s">
        <v>21</v>
      </c>
      <c r="B57" t="s">
        <v>118</v>
      </c>
      <c r="C57" t="s">
        <v>119</v>
      </c>
      <c r="D57" t="s">
        <v>112</v>
      </c>
      <c r="E57" s="4">
        <v>35857.919999999998</v>
      </c>
    </row>
    <row r="58" spans="1:5" x14ac:dyDescent="0.3">
      <c r="A58" t="s">
        <v>21</v>
      </c>
      <c r="B58" t="s">
        <v>118</v>
      </c>
      <c r="C58" t="s">
        <v>120</v>
      </c>
      <c r="D58" t="s">
        <v>112</v>
      </c>
      <c r="E58" s="4">
        <v>35857.919999999998</v>
      </c>
    </row>
    <row r="59" spans="1:5" x14ac:dyDescent="0.3">
      <c r="A59" t="s">
        <v>21</v>
      </c>
      <c r="B59" t="s">
        <v>118</v>
      </c>
      <c r="C59" t="s">
        <v>121</v>
      </c>
      <c r="D59" t="s">
        <v>112</v>
      </c>
      <c r="E59" s="4">
        <v>35857.919999999998</v>
      </c>
    </row>
    <row r="60" spans="1:5" x14ac:dyDescent="0.3">
      <c r="A60" t="s">
        <v>21</v>
      </c>
      <c r="B60" t="s">
        <v>118</v>
      </c>
      <c r="C60" t="s">
        <v>122</v>
      </c>
      <c r="D60" t="s">
        <v>112</v>
      </c>
      <c r="E60" s="4">
        <v>35857.919999999998</v>
      </c>
    </row>
    <row r="61" spans="1:5" x14ac:dyDescent="0.3">
      <c r="A61" t="s">
        <v>21</v>
      </c>
      <c r="B61" t="s">
        <v>123</v>
      </c>
      <c r="C61" t="s">
        <v>124</v>
      </c>
      <c r="D61" t="s">
        <v>112</v>
      </c>
      <c r="E61" s="4">
        <v>67233.600000000006</v>
      </c>
    </row>
    <row r="62" spans="1:5" x14ac:dyDescent="0.3">
      <c r="A62" t="s">
        <v>21</v>
      </c>
      <c r="B62" t="s">
        <v>123</v>
      </c>
      <c r="C62" t="s">
        <v>125</v>
      </c>
      <c r="D62" t="s">
        <v>112</v>
      </c>
      <c r="E62" s="4">
        <v>67233.600000000006</v>
      </c>
    </row>
    <row r="63" spans="1:5" x14ac:dyDescent="0.3">
      <c r="A63" t="s">
        <v>21</v>
      </c>
      <c r="B63" t="s">
        <v>123</v>
      </c>
      <c r="C63" t="s">
        <v>126</v>
      </c>
      <c r="D63" t="s">
        <v>112</v>
      </c>
      <c r="E63" s="4">
        <v>67233.600000000006</v>
      </c>
    </row>
    <row r="64" spans="1:5" x14ac:dyDescent="0.3">
      <c r="A64" t="s">
        <v>21</v>
      </c>
      <c r="B64" t="s">
        <v>127</v>
      </c>
      <c r="C64" t="s">
        <v>128</v>
      </c>
      <c r="D64" t="s">
        <v>129</v>
      </c>
      <c r="E64" s="4">
        <v>1057888.185882353</v>
      </c>
    </row>
    <row r="65" spans="1:5" x14ac:dyDescent="0.3">
      <c r="A65" t="s">
        <v>21</v>
      </c>
      <c r="B65" t="s">
        <v>127</v>
      </c>
      <c r="C65" t="s">
        <v>130</v>
      </c>
      <c r="D65" t="s">
        <v>129</v>
      </c>
      <c r="E65" s="4">
        <v>2083685.6470588231</v>
      </c>
    </row>
    <row r="66" spans="1:5" x14ac:dyDescent="0.3">
      <c r="A66" t="s">
        <v>21</v>
      </c>
      <c r="B66" t="s">
        <v>127</v>
      </c>
      <c r="C66" t="s">
        <v>131</v>
      </c>
      <c r="D66" t="s">
        <v>129</v>
      </c>
      <c r="E66" s="4">
        <v>2891113.8352941172</v>
      </c>
    </row>
    <row r="67" spans="1:5" x14ac:dyDescent="0.3">
      <c r="A67" t="s">
        <v>21</v>
      </c>
      <c r="B67" t="s">
        <v>132</v>
      </c>
      <c r="C67" t="s">
        <v>133</v>
      </c>
      <c r="D67" t="s">
        <v>134</v>
      </c>
      <c r="E67" s="4">
        <v>3412035.2470588228</v>
      </c>
    </row>
    <row r="68" spans="1:5" x14ac:dyDescent="0.3">
      <c r="A68" t="s">
        <v>21</v>
      </c>
      <c r="B68" t="s">
        <v>132</v>
      </c>
      <c r="C68" t="s">
        <v>135</v>
      </c>
      <c r="D68" t="s">
        <v>134</v>
      </c>
      <c r="E68" s="4">
        <v>2643676.1647058818</v>
      </c>
    </row>
    <row r="69" spans="1:5" x14ac:dyDescent="0.3">
      <c r="A69" t="s">
        <v>21</v>
      </c>
      <c r="B69" t="s">
        <v>132</v>
      </c>
      <c r="C69" t="s">
        <v>136</v>
      </c>
      <c r="D69" t="s">
        <v>137</v>
      </c>
      <c r="E69" s="4">
        <v>234414.63529411756</v>
      </c>
    </row>
    <row r="70" spans="1:5" x14ac:dyDescent="0.3">
      <c r="A70" t="s">
        <v>21</v>
      </c>
      <c r="B70" t="s">
        <v>132</v>
      </c>
      <c r="C70" t="s">
        <v>138</v>
      </c>
      <c r="D70" t="s">
        <v>137</v>
      </c>
      <c r="E70" s="4">
        <v>234414.63529411756</v>
      </c>
    </row>
    <row r="71" spans="1:5" x14ac:dyDescent="0.3">
      <c r="A71" t="s">
        <v>21</v>
      </c>
      <c r="B71" t="s">
        <v>139</v>
      </c>
      <c r="C71" t="s">
        <v>136</v>
      </c>
      <c r="D71" t="s">
        <v>137</v>
      </c>
      <c r="E71" s="4">
        <v>2344146.3529411759</v>
      </c>
    </row>
    <row r="72" spans="1:5" x14ac:dyDescent="0.3">
      <c r="A72" t="s">
        <v>21</v>
      </c>
      <c r="B72" t="s">
        <v>139</v>
      </c>
      <c r="C72" t="s">
        <v>138</v>
      </c>
      <c r="D72" t="s">
        <v>137</v>
      </c>
      <c r="E72" s="4">
        <v>2344146.3529411759</v>
      </c>
    </row>
    <row r="73" spans="1:5" x14ac:dyDescent="0.3">
      <c r="A73" t="s">
        <v>21</v>
      </c>
      <c r="B73" t="s">
        <v>140</v>
      </c>
      <c r="C73" t="s">
        <v>141</v>
      </c>
      <c r="D73" t="s">
        <v>53</v>
      </c>
      <c r="E73" s="4">
        <v>2067396.5647058818</v>
      </c>
    </row>
    <row r="74" spans="1:5" x14ac:dyDescent="0.3">
      <c r="A74" t="s">
        <v>21</v>
      </c>
      <c r="B74" t="s">
        <v>140</v>
      </c>
      <c r="C74" t="s">
        <v>142</v>
      </c>
      <c r="D74" t="s">
        <v>53</v>
      </c>
      <c r="E74" s="4">
        <v>4145069.2941176449</v>
      </c>
    </row>
    <row r="75" spans="1:5" x14ac:dyDescent="0.3">
      <c r="A75" t="s">
        <v>21</v>
      </c>
      <c r="B75" t="s">
        <v>143</v>
      </c>
      <c r="C75" t="s">
        <v>144</v>
      </c>
      <c r="D75" t="s">
        <v>145</v>
      </c>
      <c r="E75" s="4">
        <v>315922.71715764701</v>
      </c>
    </row>
    <row r="76" spans="1:5" x14ac:dyDescent="0.3">
      <c r="A76" t="s">
        <v>21</v>
      </c>
      <c r="B76" t="s">
        <v>143</v>
      </c>
      <c r="C76" t="s">
        <v>146</v>
      </c>
      <c r="D76" t="s">
        <v>145</v>
      </c>
      <c r="E76" s="4">
        <v>1263690.8686305881</v>
      </c>
    </row>
    <row r="77" spans="1:5" x14ac:dyDescent="0.3">
      <c r="A77" t="s">
        <v>21</v>
      </c>
      <c r="B77" t="s">
        <v>147</v>
      </c>
      <c r="C77" t="s">
        <v>148</v>
      </c>
      <c r="D77" t="s">
        <v>149</v>
      </c>
      <c r="E77" s="4">
        <v>631845.43431529403</v>
      </c>
    </row>
    <row r="78" spans="1:5" x14ac:dyDescent="0.3">
      <c r="A78" t="s">
        <v>21</v>
      </c>
      <c r="B78" t="s">
        <v>150</v>
      </c>
      <c r="C78" t="s">
        <v>151</v>
      </c>
      <c r="D78" t="s">
        <v>145</v>
      </c>
      <c r="E78" s="4">
        <v>0</v>
      </c>
    </row>
    <row r="79" spans="1:5" x14ac:dyDescent="0.3">
      <c r="A79" t="s">
        <v>21</v>
      </c>
      <c r="B79" t="s">
        <v>152</v>
      </c>
      <c r="C79" t="s">
        <v>151</v>
      </c>
      <c r="D79" t="s">
        <v>149</v>
      </c>
      <c r="E79" s="4">
        <v>0</v>
      </c>
    </row>
    <row r="80" spans="1:5" x14ac:dyDescent="0.3">
      <c r="A80" t="s">
        <v>21</v>
      </c>
      <c r="B80" t="s">
        <v>153</v>
      </c>
      <c r="C80" t="s">
        <v>154</v>
      </c>
      <c r="D80" t="s">
        <v>155</v>
      </c>
      <c r="E80" s="4">
        <v>53272.376470588235</v>
      </c>
    </row>
    <row r="81" spans="1:5" x14ac:dyDescent="0.3">
      <c r="A81" t="s">
        <v>21</v>
      </c>
      <c r="B81" t="s">
        <v>156</v>
      </c>
      <c r="C81" t="s">
        <v>157</v>
      </c>
      <c r="D81" t="s">
        <v>129</v>
      </c>
      <c r="E81" s="4">
        <v>110572.94117647059</v>
      </c>
    </row>
    <row r="82" spans="1:5" x14ac:dyDescent="0.3">
      <c r="A82" t="s">
        <v>21</v>
      </c>
      <c r="B82" t="s">
        <v>156</v>
      </c>
      <c r="C82" t="s">
        <v>158</v>
      </c>
      <c r="D82" t="s">
        <v>129</v>
      </c>
      <c r="E82" s="4">
        <v>208368.56470588222</v>
      </c>
    </row>
    <row r="83" spans="1:5" x14ac:dyDescent="0.3">
      <c r="A83" t="s">
        <v>21</v>
      </c>
      <c r="B83" t="s">
        <v>156</v>
      </c>
      <c r="C83" t="s">
        <v>159</v>
      </c>
      <c r="D83" t="s">
        <v>129</v>
      </c>
      <c r="E83" s="4">
        <v>289111.38352941163</v>
      </c>
    </row>
    <row r="84" spans="1:5" x14ac:dyDescent="0.3">
      <c r="A84" t="s">
        <v>21</v>
      </c>
      <c r="B84" t="s">
        <v>160</v>
      </c>
      <c r="C84" t="s">
        <v>161</v>
      </c>
      <c r="D84" t="s">
        <v>134</v>
      </c>
      <c r="E84" s="4">
        <v>341203.52470588213</v>
      </c>
    </row>
    <row r="85" spans="1:5" x14ac:dyDescent="0.3">
      <c r="A85" t="s">
        <v>21</v>
      </c>
      <c r="B85" t="s">
        <v>160</v>
      </c>
      <c r="C85" t="s">
        <v>162</v>
      </c>
      <c r="D85" t="s">
        <v>134</v>
      </c>
      <c r="E85" s="4">
        <v>264367.61647058814</v>
      </c>
    </row>
    <row r="86" spans="1:5" x14ac:dyDescent="0.3">
      <c r="A86" t="s">
        <v>21</v>
      </c>
      <c r="B86" t="s">
        <v>163</v>
      </c>
      <c r="C86" t="s">
        <v>164</v>
      </c>
      <c r="D86" t="s">
        <v>137</v>
      </c>
      <c r="E86" s="4">
        <v>257856.09882352926</v>
      </c>
    </row>
    <row r="87" spans="1:5" x14ac:dyDescent="0.3">
      <c r="A87" t="s">
        <v>21</v>
      </c>
      <c r="B87" t="s">
        <v>163</v>
      </c>
      <c r="C87" t="s">
        <v>165</v>
      </c>
      <c r="D87" t="s">
        <v>137</v>
      </c>
      <c r="E87" s="4">
        <v>257856.09882352926</v>
      </c>
    </row>
    <row r="88" spans="1:5" x14ac:dyDescent="0.3">
      <c r="A88" t="s">
        <v>21</v>
      </c>
      <c r="B88" t="s">
        <v>166</v>
      </c>
      <c r="C88" t="s">
        <v>167</v>
      </c>
      <c r="D88" t="s">
        <v>53</v>
      </c>
      <c r="E88" s="4">
        <v>206739.65647058818</v>
      </c>
    </row>
    <row r="89" spans="1:5" x14ac:dyDescent="0.3">
      <c r="A89" t="s">
        <v>21</v>
      </c>
      <c r="B89" t="s">
        <v>166</v>
      </c>
      <c r="C89" t="s">
        <v>168</v>
      </c>
      <c r="D89" t="s">
        <v>53</v>
      </c>
      <c r="E89" s="4">
        <v>414506.92941176461</v>
      </c>
    </row>
    <row r="90" spans="1:5" x14ac:dyDescent="0.3">
      <c r="A90" t="s">
        <v>21</v>
      </c>
      <c r="B90" t="s">
        <v>169</v>
      </c>
      <c r="C90" t="s">
        <v>170</v>
      </c>
      <c r="D90" t="s">
        <v>171</v>
      </c>
      <c r="E90" s="4">
        <v>711352.5882352941</v>
      </c>
    </row>
    <row r="91" spans="1:5" x14ac:dyDescent="0.3">
      <c r="A91" t="s">
        <v>21</v>
      </c>
      <c r="B91" t="s">
        <v>172</v>
      </c>
      <c r="C91" t="s">
        <v>173</v>
      </c>
      <c r="D91" t="s">
        <v>171</v>
      </c>
      <c r="E91" s="4">
        <v>0</v>
      </c>
    </row>
    <row r="92" spans="1:5" x14ac:dyDescent="0.3">
      <c r="A92" t="s">
        <v>21</v>
      </c>
      <c r="B92" t="s">
        <v>174</v>
      </c>
      <c r="C92" t="s">
        <v>175</v>
      </c>
      <c r="D92" t="s">
        <v>171</v>
      </c>
      <c r="E92" s="4">
        <v>552864.70588235289</v>
      </c>
    </row>
    <row r="93" spans="1:5" x14ac:dyDescent="0.3">
      <c r="A93" t="s">
        <v>21</v>
      </c>
      <c r="B93" t="s">
        <v>174</v>
      </c>
      <c r="C93" t="s">
        <v>176</v>
      </c>
      <c r="D93" t="s">
        <v>171</v>
      </c>
      <c r="E93" s="4">
        <v>0</v>
      </c>
    </row>
    <row r="94" spans="1:5" x14ac:dyDescent="0.3">
      <c r="A94" t="s">
        <v>21</v>
      </c>
      <c r="B94" t="s">
        <v>177</v>
      </c>
      <c r="C94" t="s">
        <v>178</v>
      </c>
      <c r="D94" t="s">
        <v>171</v>
      </c>
      <c r="E94" s="4">
        <v>0</v>
      </c>
    </row>
    <row r="95" spans="1:5" x14ac:dyDescent="0.3">
      <c r="A95" t="s">
        <v>21</v>
      </c>
      <c r="B95" t="s">
        <v>177</v>
      </c>
      <c r="C95" t="s">
        <v>179</v>
      </c>
      <c r="D95" t="s">
        <v>171</v>
      </c>
      <c r="E95" s="4">
        <v>0</v>
      </c>
    </row>
    <row r="96" spans="1:5" x14ac:dyDescent="0.3">
      <c r="A96" t="s">
        <v>21</v>
      </c>
      <c r="B96" t="s">
        <v>180</v>
      </c>
      <c r="C96" t="s">
        <v>181</v>
      </c>
      <c r="D96" t="s">
        <v>182</v>
      </c>
      <c r="E96" s="4">
        <v>703314.70588235289</v>
      </c>
    </row>
    <row r="97" spans="1:5" x14ac:dyDescent="0.3">
      <c r="A97" t="s">
        <v>21</v>
      </c>
      <c r="B97" t="s">
        <v>183</v>
      </c>
      <c r="C97" t="s">
        <v>181</v>
      </c>
      <c r="D97" t="s">
        <v>182</v>
      </c>
      <c r="E97" s="4">
        <v>0</v>
      </c>
    </row>
    <row r="98" spans="1:5" x14ac:dyDescent="0.3">
      <c r="A98" t="s">
        <v>21</v>
      </c>
      <c r="B98" t="s">
        <v>184</v>
      </c>
      <c r="C98" t="s">
        <v>185</v>
      </c>
      <c r="D98" t="s">
        <v>182</v>
      </c>
      <c r="E98" s="4">
        <v>442760.29411764705</v>
      </c>
    </row>
    <row r="99" spans="1:5" x14ac:dyDescent="0.3">
      <c r="A99" t="s">
        <v>21</v>
      </c>
      <c r="B99" t="s">
        <v>186</v>
      </c>
      <c r="C99" t="s">
        <v>53</v>
      </c>
      <c r="D99" t="s">
        <v>182</v>
      </c>
      <c r="E99" s="4">
        <v>0</v>
      </c>
    </row>
    <row r="100" spans="1:5" x14ac:dyDescent="0.3">
      <c r="A100" t="s">
        <v>21</v>
      </c>
      <c r="B100" t="s">
        <v>187</v>
      </c>
      <c r="C100" t="s">
        <v>188</v>
      </c>
      <c r="D100" t="s">
        <v>182</v>
      </c>
      <c r="E100" s="4">
        <v>765264.70588235289</v>
      </c>
    </row>
    <row r="101" spans="1:5" x14ac:dyDescent="0.3">
      <c r="A101" t="s">
        <v>21</v>
      </c>
      <c r="B101" t="s">
        <v>189</v>
      </c>
      <c r="C101" t="s">
        <v>190</v>
      </c>
      <c r="D101" t="s">
        <v>182</v>
      </c>
      <c r="E101" s="4">
        <v>82600.000000000029</v>
      </c>
    </row>
    <row r="102" spans="1:5" x14ac:dyDescent="0.3">
      <c r="A102" t="s">
        <v>21</v>
      </c>
      <c r="B102" t="s">
        <v>191</v>
      </c>
      <c r="C102" t="s">
        <v>192</v>
      </c>
      <c r="D102" t="s">
        <v>182</v>
      </c>
      <c r="E102" s="4">
        <v>33814.375</v>
      </c>
    </row>
    <row r="103" spans="1:5" x14ac:dyDescent="0.3">
      <c r="A103" t="s">
        <v>21</v>
      </c>
      <c r="B103" t="s">
        <v>193</v>
      </c>
      <c r="C103" t="s">
        <v>194</v>
      </c>
      <c r="D103" t="s">
        <v>182</v>
      </c>
      <c r="E103" s="4">
        <v>0</v>
      </c>
    </row>
    <row r="104" spans="1:5" x14ac:dyDescent="0.3">
      <c r="A104" t="s">
        <v>21</v>
      </c>
      <c r="B104" t="s">
        <v>195</v>
      </c>
      <c r="C104" t="s">
        <v>196</v>
      </c>
      <c r="D104" t="s">
        <v>197</v>
      </c>
      <c r="E104" s="4">
        <v>230500</v>
      </c>
    </row>
    <row r="105" spans="1:5" x14ac:dyDescent="0.3">
      <c r="A105" t="s">
        <v>21</v>
      </c>
      <c r="B105" t="s">
        <v>198</v>
      </c>
      <c r="C105" t="s">
        <v>199</v>
      </c>
      <c r="D105" t="s">
        <v>200</v>
      </c>
      <c r="E105" s="4">
        <v>64953</v>
      </c>
    </row>
    <row r="106" spans="1:5" x14ac:dyDescent="0.3">
      <c r="A106" t="s">
        <v>21</v>
      </c>
      <c r="B106" t="s">
        <v>201</v>
      </c>
      <c r="C106" t="s">
        <v>202</v>
      </c>
      <c r="D106" t="s">
        <v>203</v>
      </c>
      <c r="E106" s="4">
        <v>38971.800000000003</v>
      </c>
    </row>
    <row r="107" spans="1:5" x14ac:dyDescent="0.3">
      <c r="A107" s="3" t="s">
        <v>21</v>
      </c>
      <c r="B107" t="s">
        <v>204</v>
      </c>
      <c r="C107" t="s">
        <v>205</v>
      </c>
      <c r="D107" t="s">
        <v>206</v>
      </c>
      <c r="E107" s="4">
        <v>1203773.529411765</v>
      </c>
    </row>
    <row r="108" spans="1:5" x14ac:dyDescent="0.3">
      <c r="A108" s="3" t="s">
        <v>21</v>
      </c>
      <c r="B108" t="s">
        <v>207</v>
      </c>
      <c r="C108" t="s">
        <v>208</v>
      </c>
      <c r="D108" t="s">
        <v>206</v>
      </c>
      <c r="E108" s="4">
        <v>121713.52941176467</v>
      </c>
    </row>
    <row r="109" spans="1:5" x14ac:dyDescent="0.3">
      <c r="A109" s="3" t="s">
        <v>21</v>
      </c>
      <c r="B109" t="s">
        <v>209</v>
      </c>
      <c r="C109" t="s">
        <v>210</v>
      </c>
      <c r="D109" t="s">
        <v>206</v>
      </c>
      <c r="E109" s="4">
        <v>306105.8823529412</v>
      </c>
    </row>
    <row r="110" spans="1:5" x14ac:dyDescent="0.3">
      <c r="A110" s="3" t="s">
        <v>21</v>
      </c>
      <c r="B110" t="s">
        <v>211</v>
      </c>
      <c r="C110" t="s">
        <v>53</v>
      </c>
      <c r="D110" t="s">
        <v>206</v>
      </c>
      <c r="E110" s="4">
        <v>0</v>
      </c>
    </row>
    <row r="111" spans="1:5" x14ac:dyDescent="0.3">
      <c r="A111" s="3" t="s">
        <v>21</v>
      </c>
      <c r="B111" t="s">
        <v>212</v>
      </c>
      <c r="C111" t="s">
        <v>213</v>
      </c>
      <c r="D111" t="s">
        <v>206</v>
      </c>
      <c r="E111" s="4">
        <v>74704.41176470583</v>
      </c>
    </row>
    <row r="112" spans="1:5" x14ac:dyDescent="0.3">
      <c r="A112" s="3" t="s">
        <v>21</v>
      </c>
      <c r="B112" t="s">
        <v>214</v>
      </c>
      <c r="C112" t="s">
        <v>215</v>
      </c>
      <c r="D112" t="s">
        <v>206</v>
      </c>
      <c r="E112" s="4">
        <v>138476.4705882353</v>
      </c>
    </row>
    <row r="113" spans="1:5" x14ac:dyDescent="0.3">
      <c r="A113" s="3" t="s">
        <v>21</v>
      </c>
      <c r="B113" t="s">
        <v>216</v>
      </c>
      <c r="C113" t="s">
        <v>217</v>
      </c>
      <c r="D113" t="s">
        <v>206</v>
      </c>
      <c r="E113" s="4">
        <v>1336176.4705882352</v>
      </c>
    </row>
    <row r="114" spans="1:5" x14ac:dyDescent="0.3">
      <c r="A114" s="3" t="s">
        <v>21</v>
      </c>
      <c r="B114" t="s">
        <v>218</v>
      </c>
      <c r="C114" t="s">
        <v>217</v>
      </c>
      <c r="D114" t="s">
        <v>206</v>
      </c>
      <c r="E114" s="4">
        <v>0</v>
      </c>
    </row>
    <row r="115" spans="1:5" x14ac:dyDescent="0.3">
      <c r="A115" s="3" t="s">
        <v>21</v>
      </c>
      <c r="B115" t="s">
        <v>219</v>
      </c>
      <c r="C115" t="s">
        <v>220</v>
      </c>
      <c r="D115" t="s">
        <v>206</v>
      </c>
      <c r="E115" s="4">
        <v>147586.76470588241</v>
      </c>
    </row>
    <row r="116" spans="1:5" x14ac:dyDescent="0.3">
      <c r="A116" s="3" t="s">
        <v>21</v>
      </c>
      <c r="B116" t="s">
        <v>219</v>
      </c>
      <c r="C116" t="s">
        <v>55</v>
      </c>
      <c r="D116" t="s">
        <v>55</v>
      </c>
      <c r="E116" s="4">
        <v>0</v>
      </c>
    </row>
    <row r="117" spans="1:5" x14ac:dyDescent="0.3">
      <c r="A117" s="3" t="s">
        <v>21</v>
      </c>
      <c r="B117" t="s">
        <v>221</v>
      </c>
      <c r="C117" t="s">
        <v>222</v>
      </c>
      <c r="D117" t="s">
        <v>206</v>
      </c>
      <c r="E117" s="4">
        <v>116611.76470588217</v>
      </c>
    </row>
    <row r="118" spans="1:5" x14ac:dyDescent="0.3">
      <c r="A118" s="3" t="s">
        <v>21</v>
      </c>
      <c r="B118" t="s">
        <v>223</v>
      </c>
      <c r="C118" t="s">
        <v>55</v>
      </c>
      <c r="D118" t="s">
        <v>55</v>
      </c>
      <c r="E118" s="4">
        <v>0</v>
      </c>
    </row>
    <row r="119" spans="1:5" x14ac:dyDescent="0.3">
      <c r="A119" s="3" t="s">
        <v>21</v>
      </c>
      <c r="B119" t="s">
        <v>223</v>
      </c>
      <c r="C119" t="s">
        <v>224</v>
      </c>
      <c r="D119" t="s">
        <v>206</v>
      </c>
      <c r="E119" s="4">
        <v>91376.25</v>
      </c>
    </row>
    <row r="120" spans="1:5" x14ac:dyDescent="0.3">
      <c r="A120" s="3" t="s">
        <v>21</v>
      </c>
      <c r="B120" t="s">
        <v>225</v>
      </c>
      <c r="C120" t="s">
        <v>226</v>
      </c>
      <c r="D120" t="s">
        <v>206</v>
      </c>
      <c r="E120" s="4">
        <v>76526.47058823533</v>
      </c>
    </row>
    <row r="121" spans="1:5" x14ac:dyDescent="0.3">
      <c r="A121" s="3" t="s">
        <v>21</v>
      </c>
      <c r="B121" t="s">
        <v>227</v>
      </c>
      <c r="C121" t="s">
        <v>228</v>
      </c>
      <c r="D121" t="s">
        <v>206</v>
      </c>
      <c r="E121" s="4">
        <v>25508.823529411733</v>
      </c>
    </row>
    <row r="122" spans="1:5" x14ac:dyDescent="0.3">
      <c r="A122" t="s">
        <v>21</v>
      </c>
      <c r="B122" t="s">
        <v>229</v>
      </c>
      <c r="C122" t="s">
        <v>230</v>
      </c>
      <c r="D122" t="s">
        <v>231</v>
      </c>
      <c r="E122" s="4">
        <v>65062.164705882351</v>
      </c>
    </row>
    <row r="123" spans="1:5" x14ac:dyDescent="0.3">
      <c r="A123" t="s">
        <v>21</v>
      </c>
      <c r="B123" t="s">
        <v>232</v>
      </c>
      <c r="C123" t="s">
        <v>233</v>
      </c>
      <c r="D123" t="s">
        <v>234</v>
      </c>
      <c r="E123" s="4">
        <v>208777.5</v>
      </c>
    </row>
    <row r="124" spans="1:5" x14ac:dyDescent="0.3">
      <c r="A124" s="3" t="s">
        <v>21</v>
      </c>
      <c r="B124" t="s">
        <v>235</v>
      </c>
      <c r="C124" t="s">
        <v>236</v>
      </c>
      <c r="D124" t="s">
        <v>237</v>
      </c>
      <c r="E124" s="4">
        <v>114258.70588235286</v>
      </c>
    </row>
    <row r="125" spans="1:5" x14ac:dyDescent="0.3">
      <c r="A125" s="3" t="s">
        <v>21</v>
      </c>
      <c r="B125" t="s">
        <v>235</v>
      </c>
      <c r="C125" t="s">
        <v>238</v>
      </c>
      <c r="D125" t="s">
        <v>237</v>
      </c>
      <c r="E125" s="4">
        <v>11057.294117647059</v>
      </c>
    </row>
    <row r="126" spans="1:5" x14ac:dyDescent="0.3">
      <c r="A126" s="3" t="s">
        <v>21</v>
      </c>
      <c r="B126" t="s">
        <v>239</v>
      </c>
      <c r="C126" t="s">
        <v>240</v>
      </c>
      <c r="D126" t="s">
        <v>237</v>
      </c>
      <c r="E126" s="4">
        <v>53468.159999999974</v>
      </c>
    </row>
    <row r="127" spans="1:5" x14ac:dyDescent="0.3">
      <c r="A127" s="3" t="s">
        <v>21</v>
      </c>
      <c r="B127" t="s">
        <v>241</v>
      </c>
      <c r="C127">
        <v>209</v>
      </c>
      <c r="D127" t="s">
        <v>237</v>
      </c>
      <c r="E127" s="4">
        <v>62657.999999999971</v>
      </c>
    </row>
    <row r="128" spans="1:5" x14ac:dyDescent="0.3">
      <c r="A128" s="3" t="s">
        <v>21</v>
      </c>
      <c r="B128" t="s">
        <v>242</v>
      </c>
      <c r="C128" t="s">
        <v>243</v>
      </c>
      <c r="D128" t="s">
        <v>237</v>
      </c>
      <c r="E128" s="4">
        <v>373490.82352941163</v>
      </c>
    </row>
    <row r="129" spans="1:5" x14ac:dyDescent="0.3">
      <c r="A129" s="3" t="s">
        <v>21</v>
      </c>
      <c r="B129" t="s">
        <v>244</v>
      </c>
      <c r="C129" t="s">
        <v>245</v>
      </c>
      <c r="D129" t="s">
        <v>237</v>
      </c>
      <c r="E129" s="4">
        <v>44229.17647058826</v>
      </c>
    </row>
    <row r="130" spans="1:5" x14ac:dyDescent="0.3">
      <c r="A130" s="3" t="s">
        <v>21</v>
      </c>
      <c r="B130" t="s">
        <v>246</v>
      </c>
      <c r="C130" t="s">
        <v>247</v>
      </c>
      <c r="D130" t="s">
        <v>237</v>
      </c>
      <c r="E130" s="4">
        <v>802513.83529411722</v>
      </c>
    </row>
    <row r="131" spans="1:5" x14ac:dyDescent="0.3">
      <c r="A131" s="3" t="s">
        <v>21</v>
      </c>
      <c r="B131" t="s">
        <v>248</v>
      </c>
      <c r="C131" t="s">
        <v>249</v>
      </c>
      <c r="D131" t="s">
        <v>237</v>
      </c>
      <c r="E131" s="4">
        <v>0</v>
      </c>
    </row>
    <row r="132" spans="1:5" x14ac:dyDescent="0.3">
      <c r="A132" s="3" t="s">
        <v>21</v>
      </c>
      <c r="B132" t="s">
        <v>250</v>
      </c>
      <c r="C132" t="s">
        <v>251</v>
      </c>
      <c r="D132" t="s">
        <v>237</v>
      </c>
      <c r="E132" s="4">
        <v>247683.38823529429</v>
      </c>
    </row>
    <row r="133" spans="1:5" x14ac:dyDescent="0.3">
      <c r="A133" s="3" t="s">
        <v>21</v>
      </c>
      <c r="B133" t="s">
        <v>252</v>
      </c>
      <c r="C133" t="s">
        <v>251</v>
      </c>
      <c r="D133" t="s">
        <v>237</v>
      </c>
      <c r="E133" s="4">
        <v>0</v>
      </c>
    </row>
    <row r="134" spans="1:5" x14ac:dyDescent="0.3">
      <c r="A134" s="3" t="s">
        <v>21</v>
      </c>
      <c r="B134" t="s">
        <v>253</v>
      </c>
      <c r="C134" t="s">
        <v>254</v>
      </c>
      <c r="D134" t="s">
        <v>237</v>
      </c>
      <c r="E134" s="4">
        <v>211784.0399999998</v>
      </c>
    </row>
    <row r="135" spans="1:5" x14ac:dyDescent="0.3">
      <c r="A135" s="3" t="s">
        <v>21</v>
      </c>
      <c r="B135" t="s">
        <v>255</v>
      </c>
      <c r="C135" t="s">
        <v>256</v>
      </c>
      <c r="D135" t="s">
        <v>55</v>
      </c>
      <c r="E135" s="4">
        <v>3774.9176470588236</v>
      </c>
    </row>
    <row r="136" spans="1:5" x14ac:dyDescent="0.3">
      <c r="A136" s="3" t="s">
        <v>21</v>
      </c>
      <c r="B136" t="s">
        <v>255</v>
      </c>
      <c r="D136" t="s">
        <v>237</v>
      </c>
      <c r="E136" s="4">
        <v>243260.4705882351</v>
      </c>
    </row>
    <row r="137" spans="1:5" x14ac:dyDescent="0.3">
      <c r="A137" s="3" t="s">
        <v>21</v>
      </c>
      <c r="B137" t="s">
        <v>255</v>
      </c>
      <c r="C137" t="s">
        <v>55</v>
      </c>
      <c r="D137" t="s">
        <v>55</v>
      </c>
      <c r="E137" s="4">
        <v>0</v>
      </c>
    </row>
    <row r="138" spans="1:5" x14ac:dyDescent="0.3">
      <c r="A138" s="3" t="s">
        <v>21</v>
      </c>
      <c r="B138" t="s">
        <v>257</v>
      </c>
      <c r="C138" t="s">
        <v>258</v>
      </c>
      <c r="D138" t="s">
        <v>237</v>
      </c>
      <c r="E138" s="4">
        <v>103201.41176470595</v>
      </c>
    </row>
    <row r="139" spans="1:5" x14ac:dyDescent="0.3">
      <c r="A139" t="s">
        <v>21</v>
      </c>
      <c r="B139" t="s">
        <v>259</v>
      </c>
      <c r="C139" t="s">
        <v>260</v>
      </c>
      <c r="D139" t="s">
        <v>261</v>
      </c>
      <c r="E139" s="4">
        <v>15239.616</v>
      </c>
    </row>
    <row r="140" spans="1:5" x14ac:dyDescent="0.3">
      <c r="A140" t="s">
        <v>21</v>
      </c>
      <c r="B140" t="s">
        <v>262</v>
      </c>
      <c r="C140" t="s">
        <v>263</v>
      </c>
      <c r="D140" t="s">
        <v>264</v>
      </c>
      <c r="E140" s="4">
        <v>46100</v>
      </c>
    </row>
    <row r="141" spans="1:5" x14ac:dyDescent="0.3">
      <c r="A141" t="s">
        <v>21</v>
      </c>
      <c r="B141" t="s">
        <v>265</v>
      </c>
      <c r="C141" t="s">
        <v>266</v>
      </c>
      <c r="D141" t="s">
        <v>267</v>
      </c>
      <c r="E141" s="4">
        <v>108470.58823529411</v>
      </c>
    </row>
    <row r="142" spans="1:5" x14ac:dyDescent="0.3">
      <c r="A142" t="s">
        <v>21</v>
      </c>
      <c r="B142" t="s">
        <v>268</v>
      </c>
      <c r="C142" t="s">
        <v>269</v>
      </c>
      <c r="D142" t="s">
        <v>270</v>
      </c>
      <c r="E142" s="4">
        <v>55674</v>
      </c>
    </row>
    <row r="143" spans="1:5" x14ac:dyDescent="0.3">
      <c r="A143" t="s">
        <v>21</v>
      </c>
      <c r="B143" t="s">
        <v>271</v>
      </c>
      <c r="C143" t="s">
        <v>272</v>
      </c>
      <c r="D143" t="s">
        <v>273</v>
      </c>
      <c r="E143" s="4">
        <v>213417</v>
      </c>
    </row>
    <row r="144" spans="1:5" x14ac:dyDescent="0.3">
      <c r="A144" s="3" t="s">
        <v>21</v>
      </c>
      <c r="B144" t="s">
        <v>274</v>
      </c>
      <c r="C144" t="s">
        <v>53</v>
      </c>
      <c r="D144" t="s">
        <v>53</v>
      </c>
      <c r="E144" s="4">
        <v>519200</v>
      </c>
    </row>
    <row r="145" spans="1:5" x14ac:dyDescent="0.3">
      <c r="A145" s="3" t="s">
        <v>21</v>
      </c>
      <c r="B145" t="s">
        <v>275</v>
      </c>
      <c r="C145" t="s">
        <v>276</v>
      </c>
      <c r="D145" t="s">
        <v>277</v>
      </c>
      <c r="E145" s="4">
        <v>68800.941176470616</v>
      </c>
    </row>
    <row r="146" spans="1:5" x14ac:dyDescent="0.3">
      <c r="A146" s="3" t="s">
        <v>21</v>
      </c>
      <c r="B146" t="s">
        <v>278</v>
      </c>
      <c r="C146" t="s">
        <v>279</v>
      </c>
      <c r="D146" t="s">
        <v>277</v>
      </c>
      <c r="E146" s="4">
        <v>0</v>
      </c>
    </row>
    <row r="147" spans="1:5" x14ac:dyDescent="0.3">
      <c r="A147" s="3" t="s">
        <v>21</v>
      </c>
      <c r="B147" t="s">
        <v>280</v>
      </c>
      <c r="C147" t="s">
        <v>281</v>
      </c>
      <c r="D147" t="s">
        <v>277</v>
      </c>
      <c r="E147" s="4">
        <v>27151.800000000003</v>
      </c>
    </row>
    <row r="148" spans="1:5" x14ac:dyDescent="0.3">
      <c r="A148" s="3" t="s">
        <v>21</v>
      </c>
      <c r="B148" t="s">
        <v>282</v>
      </c>
      <c r="C148" t="s">
        <v>283</v>
      </c>
      <c r="D148" t="s">
        <v>277</v>
      </c>
      <c r="E148" s="4">
        <v>35383.341176470574</v>
      </c>
    </row>
    <row r="149" spans="1:5" x14ac:dyDescent="0.3">
      <c r="A149" s="3" t="s">
        <v>21</v>
      </c>
      <c r="B149" t="s">
        <v>282</v>
      </c>
      <c r="C149" t="s">
        <v>55</v>
      </c>
      <c r="D149" t="s">
        <v>277</v>
      </c>
      <c r="E149" s="4">
        <v>0</v>
      </c>
    </row>
    <row r="150" spans="1:5" x14ac:dyDescent="0.3">
      <c r="A150" s="3" t="s">
        <v>21</v>
      </c>
      <c r="B150" t="s">
        <v>284</v>
      </c>
      <c r="C150" t="s">
        <v>285</v>
      </c>
      <c r="D150" t="s">
        <v>277</v>
      </c>
      <c r="E150" s="4">
        <v>46686.352941176468</v>
      </c>
    </row>
    <row r="151" spans="1:5" x14ac:dyDescent="0.3">
      <c r="A151" s="3" t="s">
        <v>21</v>
      </c>
      <c r="B151" t="s">
        <v>286</v>
      </c>
      <c r="C151" t="s">
        <v>287</v>
      </c>
      <c r="D151" t="s">
        <v>277</v>
      </c>
      <c r="E151" s="4">
        <v>68800.941176470616</v>
      </c>
    </row>
    <row r="152" spans="1:5" x14ac:dyDescent="0.3">
      <c r="A152" s="3" t="s">
        <v>21</v>
      </c>
      <c r="B152" t="s">
        <v>288</v>
      </c>
      <c r="C152" t="s">
        <v>55</v>
      </c>
      <c r="D152" t="s">
        <v>277</v>
      </c>
      <c r="E152" s="4">
        <v>0</v>
      </c>
    </row>
    <row r="153" spans="1:5" x14ac:dyDescent="0.3">
      <c r="A153" s="3" t="s">
        <v>21</v>
      </c>
      <c r="B153" t="s">
        <v>288</v>
      </c>
      <c r="C153" t="s">
        <v>289</v>
      </c>
      <c r="D153" t="s">
        <v>277</v>
      </c>
      <c r="E153" s="4">
        <v>29762.55000000001</v>
      </c>
    </row>
    <row r="154" spans="1:5" x14ac:dyDescent="0.3">
      <c r="A154" s="3" t="s">
        <v>21</v>
      </c>
      <c r="B154" t="s">
        <v>290</v>
      </c>
      <c r="C154" t="s">
        <v>291</v>
      </c>
      <c r="D154" t="s">
        <v>277</v>
      </c>
      <c r="E154" s="4">
        <v>16708.800000000003</v>
      </c>
    </row>
    <row r="155" spans="1:5" x14ac:dyDescent="0.3">
      <c r="A155" t="s">
        <v>21</v>
      </c>
      <c r="B155" t="s">
        <v>292</v>
      </c>
      <c r="C155" t="s">
        <v>293</v>
      </c>
      <c r="D155" t="s">
        <v>294</v>
      </c>
      <c r="E155" s="4">
        <v>64953</v>
      </c>
    </row>
    <row r="156" spans="1:5" x14ac:dyDescent="0.3">
      <c r="A156" s="3" t="s">
        <v>21</v>
      </c>
      <c r="B156" t="s">
        <v>295</v>
      </c>
      <c r="C156" t="s">
        <v>296</v>
      </c>
      <c r="D156" t="s">
        <v>297</v>
      </c>
      <c r="E156" s="4">
        <v>82561.129411764749</v>
      </c>
    </row>
    <row r="157" spans="1:5" x14ac:dyDescent="0.3">
      <c r="A157" s="3" t="s">
        <v>21</v>
      </c>
      <c r="B157" t="s">
        <v>298</v>
      </c>
      <c r="C157" t="s">
        <v>299</v>
      </c>
      <c r="D157" t="s">
        <v>297</v>
      </c>
      <c r="E157" s="4">
        <v>16291.080000000002</v>
      </c>
    </row>
    <row r="158" spans="1:5" x14ac:dyDescent="0.3">
      <c r="A158" s="3" t="s">
        <v>21</v>
      </c>
      <c r="B158" t="s">
        <v>298</v>
      </c>
      <c r="C158" t="s">
        <v>300</v>
      </c>
      <c r="D158" t="s">
        <v>297</v>
      </c>
      <c r="E158" s="4">
        <v>32582.160000000003</v>
      </c>
    </row>
    <row r="159" spans="1:5" x14ac:dyDescent="0.3">
      <c r="A159" s="3" t="s">
        <v>21</v>
      </c>
      <c r="B159" t="s">
        <v>301</v>
      </c>
      <c r="C159" t="s">
        <v>302</v>
      </c>
      <c r="D159" t="s">
        <v>297</v>
      </c>
      <c r="E159" s="4">
        <v>41280.564705882352</v>
      </c>
    </row>
    <row r="160" spans="1:5" x14ac:dyDescent="0.3">
      <c r="A160" s="3" t="s">
        <v>21</v>
      </c>
      <c r="B160" t="s">
        <v>301</v>
      </c>
      <c r="C160" t="s">
        <v>303</v>
      </c>
      <c r="D160" t="s">
        <v>297</v>
      </c>
      <c r="E160" s="4">
        <v>82561.129411764749</v>
      </c>
    </row>
    <row r="161" spans="1:5" x14ac:dyDescent="0.3">
      <c r="A161" s="3" t="s">
        <v>21</v>
      </c>
      <c r="B161" t="s">
        <v>304</v>
      </c>
      <c r="C161" t="s">
        <v>305</v>
      </c>
      <c r="D161" t="s">
        <v>297</v>
      </c>
      <c r="E161" s="4">
        <v>0</v>
      </c>
    </row>
    <row r="162" spans="1:5" x14ac:dyDescent="0.3">
      <c r="A162" s="3" t="s">
        <v>21</v>
      </c>
      <c r="B162" t="s">
        <v>306</v>
      </c>
      <c r="C162" t="s">
        <v>307</v>
      </c>
      <c r="D162" t="s">
        <v>308</v>
      </c>
      <c r="E162" s="4">
        <v>235045.58823529398</v>
      </c>
    </row>
    <row r="163" spans="1:5" x14ac:dyDescent="0.3">
      <c r="A163" s="3" t="s">
        <v>21</v>
      </c>
      <c r="B163" t="s">
        <v>309</v>
      </c>
      <c r="C163" t="s">
        <v>310</v>
      </c>
      <c r="D163" t="s">
        <v>308</v>
      </c>
      <c r="E163" s="4">
        <v>2311585.2941176472</v>
      </c>
    </row>
    <row r="164" spans="1:5" x14ac:dyDescent="0.3">
      <c r="A164" s="3" t="s">
        <v>21</v>
      </c>
      <c r="B164" t="s">
        <v>311</v>
      </c>
      <c r="C164" t="s">
        <v>312</v>
      </c>
      <c r="D164" t="s">
        <v>308</v>
      </c>
      <c r="E164" s="4">
        <v>0</v>
      </c>
    </row>
    <row r="165" spans="1:5" x14ac:dyDescent="0.3">
      <c r="A165" s="3" t="s">
        <v>21</v>
      </c>
      <c r="B165" t="s">
        <v>313</v>
      </c>
      <c r="C165" t="s">
        <v>314</v>
      </c>
      <c r="D165" t="s">
        <v>308</v>
      </c>
      <c r="E165" s="4">
        <v>163985.29411764711</v>
      </c>
    </row>
    <row r="166" spans="1:5" x14ac:dyDescent="0.3">
      <c r="A166" s="3" t="s">
        <v>21</v>
      </c>
      <c r="B166" t="s">
        <v>315</v>
      </c>
      <c r="C166" t="s">
        <v>316</v>
      </c>
      <c r="D166" t="s">
        <v>308</v>
      </c>
      <c r="E166" s="4">
        <v>0</v>
      </c>
    </row>
    <row r="167" spans="1:5" x14ac:dyDescent="0.3">
      <c r="A167" s="3" t="s">
        <v>21</v>
      </c>
      <c r="B167" t="s">
        <v>317</v>
      </c>
      <c r="C167" t="s">
        <v>318</v>
      </c>
      <c r="D167" t="s">
        <v>308</v>
      </c>
      <c r="E167" s="4">
        <v>137747.6470588235</v>
      </c>
    </row>
    <row r="168" spans="1:5" x14ac:dyDescent="0.3">
      <c r="A168" s="3" t="s">
        <v>21</v>
      </c>
      <c r="B168" t="s">
        <v>319</v>
      </c>
      <c r="C168" t="s">
        <v>320</v>
      </c>
      <c r="D168" t="s">
        <v>308</v>
      </c>
      <c r="E168" s="4">
        <v>295173.5294117647</v>
      </c>
    </row>
    <row r="169" spans="1:5" x14ac:dyDescent="0.3">
      <c r="A169" s="3" t="s">
        <v>21</v>
      </c>
      <c r="B169" t="s">
        <v>319</v>
      </c>
      <c r="C169" t="s">
        <v>321</v>
      </c>
      <c r="D169" t="s">
        <v>308</v>
      </c>
      <c r="E169" s="4">
        <v>260554.41176470587</v>
      </c>
    </row>
    <row r="170" spans="1:5" x14ac:dyDescent="0.3">
      <c r="A170" s="3" t="s">
        <v>21</v>
      </c>
      <c r="B170" t="s">
        <v>319</v>
      </c>
      <c r="C170" t="s">
        <v>322</v>
      </c>
      <c r="D170" t="s">
        <v>308</v>
      </c>
      <c r="E170" s="4">
        <v>633469.1176470588</v>
      </c>
    </row>
    <row r="171" spans="1:5" x14ac:dyDescent="0.3">
      <c r="A171" s="3" t="s">
        <v>21</v>
      </c>
      <c r="B171" t="s">
        <v>323</v>
      </c>
      <c r="C171" t="s">
        <v>324</v>
      </c>
      <c r="D171" t="s">
        <v>308</v>
      </c>
      <c r="E171" s="4">
        <v>0</v>
      </c>
    </row>
    <row r="172" spans="1:5" x14ac:dyDescent="0.3">
      <c r="A172" s="3" t="s">
        <v>21</v>
      </c>
      <c r="B172" t="s">
        <v>323</v>
      </c>
      <c r="C172" t="s">
        <v>325</v>
      </c>
      <c r="D172" t="s">
        <v>308</v>
      </c>
      <c r="E172" s="4">
        <v>0</v>
      </c>
    </row>
    <row r="173" spans="1:5" x14ac:dyDescent="0.3">
      <c r="A173" s="3" t="s">
        <v>21</v>
      </c>
      <c r="B173" t="s">
        <v>323</v>
      </c>
      <c r="C173" t="s">
        <v>53</v>
      </c>
      <c r="D173" t="s">
        <v>308</v>
      </c>
      <c r="E173" s="4">
        <v>0</v>
      </c>
    </row>
    <row r="174" spans="1:5" x14ac:dyDescent="0.3">
      <c r="A174" s="3" t="s">
        <v>21</v>
      </c>
      <c r="B174" t="s">
        <v>326</v>
      </c>
      <c r="C174" t="s">
        <v>327</v>
      </c>
      <c r="D174" t="s">
        <v>308</v>
      </c>
      <c r="E174" s="4">
        <v>47829.044117647049</v>
      </c>
    </row>
    <row r="175" spans="1:5" x14ac:dyDescent="0.3">
      <c r="A175" s="3" t="s">
        <v>21</v>
      </c>
      <c r="B175" t="s">
        <v>326</v>
      </c>
      <c r="C175" t="s">
        <v>328</v>
      </c>
      <c r="D175" t="s">
        <v>308</v>
      </c>
      <c r="E175" s="4">
        <v>54661.76470588235</v>
      </c>
    </row>
    <row r="176" spans="1:5" x14ac:dyDescent="0.3">
      <c r="A176" s="3" t="s">
        <v>21</v>
      </c>
      <c r="B176" t="s">
        <v>329</v>
      </c>
      <c r="C176" t="s">
        <v>330</v>
      </c>
      <c r="D176" t="s">
        <v>308</v>
      </c>
      <c r="E176" s="4">
        <v>1164902.9411764708</v>
      </c>
    </row>
    <row r="177" spans="1:5" x14ac:dyDescent="0.3">
      <c r="A177" s="3" t="s">
        <v>21</v>
      </c>
      <c r="B177" t="s">
        <v>331</v>
      </c>
      <c r="C177" t="s">
        <v>332</v>
      </c>
      <c r="D177" t="s">
        <v>308</v>
      </c>
      <c r="E177" s="4">
        <v>125479.11764705877</v>
      </c>
    </row>
    <row r="178" spans="1:5" x14ac:dyDescent="0.3">
      <c r="A178" s="3" t="s">
        <v>21</v>
      </c>
      <c r="B178" t="s">
        <v>333</v>
      </c>
      <c r="C178" t="s">
        <v>334</v>
      </c>
      <c r="D178" t="s">
        <v>308</v>
      </c>
      <c r="E178" s="4">
        <v>259643.38235294176</v>
      </c>
    </row>
    <row r="179" spans="1:5" x14ac:dyDescent="0.3">
      <c r="A179" s="3" t="s">
        <v>21</v>
      </c>
      <c r="B179" t="s">
        <v>335</v>
      </c>
      <c r="C179" t="s">
        <v>336</v>
      </c>
      <c r="D179" t="s">
        <v>308</v>
      </c>
      <c r="E179" s="4">
        <v>87458.823529411762</v>
      </c>
    </row>
    <row r="180" spans="1:5" x14ac:dyDescent="0.3">
      <c r="A180" s="3" t="s">
        <v>21</v>
      </c>
      <c r="B180" t="s">
        <v>337</v>
      </c>
      <c r="C180" t="s">
        <v>53</v>
      </c>
      <c r="D180" t="s">
        <v>308</v>
      </c>
      <c r="E180" s="4">
        <v>0</v>
      </c>
    </row>
    <row r="181" spans="1:5" x14ac:dyDescent="0.3">
      <c r="A181" t="s">
        <v>21</v>
      </c>
      <c r="B181" t="s">
        <v>338</v>
      </c>
      <c r="C181" t="s">
        <v>339</v>
      </c>
      <c r="D181" t="s">
        <v>340</v>
      </c>
      <c r="E181" s="4">
        <v>64953</v>
      </c>
    </row>
    <row r="182" spans="1:5" x14ac:dyDescent="0.3">
      <c r="A182" t="s">
        <v>21</v>
      </c>
      <c r="B182" t="s">
        <v>341</v>
      </c>
      <c r="C182" t="s">
        <v>342</v>
      </c>
      <c r="D182" t="s">
        <v>343</v>
      </c>
      <c r="E182" s="4">
        <v>92790</v>
      </c>
    </row>
    <row r="183" spans="1:5" x14ac:dyDescent="0.3">
      <c r="A183" t="s">
        <v>21</v>
      </c>
      <c r="B183" t="s">
        <v>344</v>
      </c>
      <c r="C183" t="s">
        <v>345</v>
      </c>
      <c r="D183" t="s">
        <v>346</v>
      </c>
      <c r="E183" s="4">
        <v>208777.5</v>
      </c>
    </row>
    <row r="184" spans="1:5" x14ac:dyDescent="0.3">
      <c r="A184" t="s">
        <v>21</v>
      </c>
      <c r="B184" t="s">
        <v>347</v>
      </c>
      <c r="C184" t="s">
        <v>348</v>
      </c>
      <c r="D184" t="s">
        <v>349</v>
      </c>
      <c r="E184" s="4">
        <v>92790</v>
      </c>
    </row>
    <row r="185" spans="1:5" x14ac:dyDescent="0.3">
      <c r="A185" t="s">
        <v>21</v>
      </c>
      <c r="B185" t="s">
        <v>350</v>
      </c>
      <c r="C185" t="s">
        <v>351</v>
      </c>
      <c r="D185" t="s">
        <v>352</v>
      </c>
      <c r="E185" s="4">
        <v>92790</v>
      </c>
    </row>
    <row r="186" spans="1:5" x14ac:dyDescent="0.3">
      <c r="A186" t="s">
        <v>21</v>
      </c>
      <c r="B186" t="s">
        <v>353</v>
      </c>
      <c r="C186" t="s">
        <v>354</v>
      </c>
      <c r="D186" t="s">
        <v>352</v>
      </c>
      <c r="E186" s="4">
        <v>102069</v>
      </c>
    </row>
    <row r="187" spans="1:5" x14ac:dyDescent="0.3">
      <c r="A187" s="3" t="s">
        <v>21</v>
      </c>
      <c r="B187" t="s">
        <v>355</v>
      </c>
      <c r="C187" t="s">
        <v>356</v>
      </c>
      <c r="D187" t="s">
        <v>357</v>
      </c>
      <c r="E187" s="4">
        <v>50863.552941176473</v>
      </c>
    </row>
    <row r="188" spans="1:5" x14ac:dyDescent="0.3">
      <c r="A188" s="3" t="s">
        <v>21</v>
      </c>
      <c r="B188" t="s">
        <v>355</v>
      </c>
      <c r="C188" t="s">
        <v>55</v>
      </c>
      <c r="D188" t="s">
        <v>357</v>
      </c>
      <c r="E188" s="4">
        <v>0</v>
      </c>
    </row>
    <row r="189" spans="1:5" x14ac:dyDescent="0.3">
      <c r="A189" s="3" t="s">
        <v>21</v>
      </c>
      <c r="B189" t="s">
        <v>358</v>
      </c>
      <c r="C189" t="s">
        <v>359</v>
      </c>
      <c r="D189" t="s">
        <v>357</v>
      </c>
      <c r="E189" s="4">
        <v>82561.129411764749</v>
      </c>
    </row>
    <row r="190" spans="1:5" x14ac:dyDescent="0.3">
      <c r="A190" s="3" t="s">
        <v>21</v>
      </c>
      <c r="B190" t="s">
        <v>360</v>
      </c>
      <c r="C190" t="s">
        <v>361</v>
      </c>
      <c r="D190" t="s">
        <v>357</v>
      </c>
      <c r="E190" s="4">
        <v>0</v>
      </c>
    </row>
    <row r="191" spans="1:5" x14ac:dyDescent="0.3">
      <c r="A191" s="3" t="s">
        <v>21</v>
      </c>
      <c r="B191" t="s">
        <v>362</v>
      </c>
      <c r="C191" t="s">
        <v>363</v>
      </c>
      <c r="D191" t="s">
        <v>357</v>
      </c>
      <c r="E191" s="4">
        <v>32582.160000000003</v>
      </c>
    </row>
    <row r="192" spans="1:5" x14ac:dyDescent="0.3">
      <c r="A192" s="3" t="s">
        <v>21</v>
      </c>
      <c r="B192" t="s">
        <v>364</v>
      </c>
      <c r="C192" t="s">
        <v>365</v>
      </c>
      <c r="D192" t="s">
        <v>357</v>
      </c>
      <c r="E192" s="4">
        <v>82561.129411764749</v>
      </c>
    </row>
    <row r="193" spans="1:5" x14ac:dyDescent="0.3">
      <c r="A193" s="3" t="s">
        <v>21</v>
      </c>
      <c r="B193" t="s">
        <v>366</v>
      </c>
      <c r="C193" t="s">
        <v>55</v>
      </c>
      <c r="D193" t="s">
        <v>357</v>
      </c>
      <c r="E193" s="4">
        <v>0</v>
      </c>
    </row>
    <row r="194" spans="1:5" x14ac:dyDescent="0.3">
      <c r="A194" s="3" t="s">
        <v>21</v>
      </c>
      <c r="B194" t="s">
        <v>366</v>
      </c>
      <c r="C194" t="s">
        <v>367</v>
      </c>
      <c r="D194" t="s">
        <v>357</v>
      </c>
      <c r="E194" s="4">
        <v>32895.450000000012</v>
      </c>
    </row>
    <row r="195" spans="1:5" x14ac:dyDescent="0.3">
      <c r="A195" s="3" t="s">
        <v>21</v>
      </c>
      <c r="B195" t="s">
        <v>368</v>
      </c>
      <c r="C195" t="s">
        <v>55</v>
      </c>
      <c r="D195" t="s">
        <v>55</v>
      </c>
      <c r="E195" s="4">
        <v>0</v>
      </c>
    </row>
    <row r="196" spans="1:5" x14ac:dyDescent="0.3">
      <c r="A196" s="3" t="s">
        <v>21</v>
      </c>
      <c r="B196" t="s">
        <v>368</v>
      </c>
      <c r="C196" t="s">
        <v>369</v>
      </c>
      <c r="D196" t="s">
        <v>370</v>
      </c>
      <c r="E196" s="4">
        <v>316238.6117647058</v>
      </c>
    </row>
    <row r="197" spans="1:5" x14ac:dyDescent="0.3">
      <c r="A197" s="3" t="s">
        <v>21</v>
      </c>
      <c r="B197" t="s">
        <v>371</v>
      </c>
      <c r="C197" t="s">
        <v>372</v>
      </c>
      <c r="D197" t="s">
        <v>370</v>
      </c>
      <c r="E197" s="4">
        <v>603949.40470588242</v>
      </c>
    </row>
    <row r="198" spans="1:5" x14ac:dyDescent="0.3">
      <c r="A198" s="3" t="s">
        <v>21</v>
      </c>
      <c r="B198" t="s">
        <v>371</v>
      </c>
      <c r="C198" t="s">
        <v>55</v>
      </c>
      <c r="D198" t="s">
        <v>55</v>
      </c>
      <c r="E198" s="4">
        <v>0</v>
      </c>
    </row>
    <row r="199" spans="1:5" x14ac:dyDescent="0.3">
      <c r="A199" s="3" t="s">
        <v>21</v>
      </c>
      <c r="B199" t="s">
        <v>373</v>
      </c>
      <c r="C199" t="s">
        <v>374</v>
      </c>
      <c r="D199" t="s">
        <v>370</v>
      </c>
      <c r="E199" s="4">
        <v>127969.75058823536</v>
      </c>
    </row>
    <row r="200" spans="1:5" x14ac:dyDescent="0.3">
      <c r="A200" s="3" t="s">
        <v>21</v>
      </c>
      <c r="B200" t="s">
        <v>373</v>
      </c>
      <c r="C200" t="s">
        <v>375</v>
      </c>
      <c r="D200" t="s">
        <v>376</v>
      </c>
      <c r="E200" s="4">
        <v>9140.6964705882365</v>
      </c>
    </row>
    <row r="201" spans="1:5" x14ac:dyDescent="0.3">
      <c r="A201" s="3" t="s">
        <v>21</v>
      </c>
      <c r="B201" t="s">
        <v>377</v>
      </c>
      <c r="C201" t="s">
        <v>378</v>
      </c>
      <c r="D201" t="s">
        <v>370</v>
      </c>
      <c r="E201" s="4">
        <v>248789.11764705888</v>
      </c>
    </row>
    <row r="202" spans="1:5" x14ac:dyDescent="0.3">
      <c r="A202" s="3" t="s">
        <v>21</v>
      </c>
      <c r="B202" t="s">
        <v>379</v>
      </c>
      <c r="C202" t="s">
        <v>380</v>
      </c>
      <c r="D202" t="s">
        <v>370</v>
      </c>
      <c r="E202" s="4">
        <v>243260.47058823536</v>
      </c>
    </row>
    <row r="203" spans="1:5" x14ac:dyDescent="0.3">
      <c r="A203" s="3" t="s">
        <v>21</v>
      </c>
      <c r="B203" t="s">
        <v>379</v>
      </c>
      <c r="C203" t="s">
        <v>381</v>
      </c>
      <c r="D203" t="s">
        <v>370</v>
      </c>
      <c r="E203" s="4">
        <v>60815.117647058818</v>
      </c>
    </row>
    <row r="204" spans="1:5" x14ac:dyDescent="0.3">
      <c r="A204" s="3" t="s">
        <v>21</v>
      </c>
      <c r="B204" t="s">
        <v>382</v>
      </c>
      <c r="C204" t="s">
        <v>383</v>
      </c>
      <c r="D204" t="s">
        <v>370</v>
      </c>
      <c r="E204" s="4">
        <v>304075.58823529398</v>
      </c>
    </row>
    <row r="205" spans="1:5" x14ac:dyDescent="0.3">
      <c r="A205" s="3" t="s">
        <v>21</v>
      </c>
      <c r="B205" t="s">
        <v>384</v>
      </c>
      <c r="C205" t="s">
        <v>385</v>
      </c>
      <c r="D205" t="s">
        <v>370</v>
      </c>
      <c r="E205" s="4">
        <v>165859.41176470596</v>
      </c>
    </row>
    <row r="206" spans="1:5" x14ac:dyDescent="0.3">
      <c r="A206" s="3" t="s">
        <v>21</v>
      </c>
      <c r="B206" t="s">
        <v>386</v>
      </c>
      <c r="C206" t="s">
        <v>387</v>
      </c>
      <c r="D206" t="s">
        <v>370</v>
      </c>
      <c r="E206" s="4">
        <v>91222.676470588165</v>
      </c>
    </row>
    <row r="207" spans="1:5" x14ac:dyDescent="0.3">
      <c r="A207" s="3" t="s">
        <v>21</v>
      </c>
      <c r="B207" t="s">
        <v>386</v>
      </c>
      <c r="C207" t="s">
        <v>55</v>
      </c>
      <c r="D207" t="s">
        <v>55</v>
      </c>
      <c r="E207" s="4">
        <v>0</v>
      </c>
    </row>
    <row r="208" spans="1:5" x14ac:dyDescent="0.3">
      <c r="A208" t="s">
        <v>21</v>
      </c>
      <c r="B208" t="s">
        <v>388</v>
      </c>
      <c r="C208" t="s">
        <v>55</v>
      </c>
      <c r="D208" t="s">
        <v>55</v>
      </c>
      <c r="E208" s="4">
        <v>0</v>
      </c>
    </row>
    <row r="209" spans="1:5" x14ac:dyDescent="0.3">
      <c r="A209" t="s">
        <v>21</v>
      </c>
      <c r="B209" t="s">
        <v>388</v>
      </c>
      <c r="C209" t="s">
        <v>389</v>
      </c>
      <c r="D209" t="s">
        <v>370</v>
      </c>
      <c r="E209" s="4">
        <v>69315.412500000035</v>
      </c>
    </row>
    <row r="210" spans="1:5" x14ac:dyDescent="0.3">
      <c r="A210" t="s">
        <v>21</v>
      </c>
      <c r="B210" t="s">
        <v>390</v>
      </c>
      <c r="C210" t="s">
        <v>391</v>
      </c>
      <c r="D210" t="s">
        <v>370</v>
      </c>
      <c r="E210" s="4">
        <v>66343.764705882291</v>
      </c>
    </row>
    <row r="211" spans="1:5" x14ac:dyDescent="0.3">
      <c r="A211" t="s">
        <v>21</v>
      </c>
      <c r="B211" t="s">
        <v>392</v>
      </c>
      <c r="C211" t="s">
        <v>55</v>
      </c>
      <c r="D211" t="s">
        <v>55</v>
      </c>
      <c r="E211" s="4">
        <v>0</v>
      </c>
    </row>
    <row r="212" spans="1:5" x14ac:dyDescent="0.3">
      <c r="A212" t="s">
        <v>21</v>
      </c>
      <c r="B212" t="s">
        <v>392</v>
      </c>
      <c r="C212" t="s">
        <v>393</v>
      </c>
      <c r="D212" t="s">
        <v>370</v>
      </c>
      <c r="E212" s="4">
        <v>48928.526470588156</v>
      </c>
    </row>
    <row r="213" spans="1:5" x14ac:dyDescent="0.3">
      <c r="A213" t="s">
        <v>21</v>
      </c>
      <c r="B213" t="s">
        <v>394</v>
      </c>
      <c r="C213" t="s">
        <v>395</v>
      </c>
      <c r="D213" t="s">
        <v>370</v>
      </c>
      <c r="E213" s="4">
        <v>154802.11764705888</v>
      </c>
    </row>
    <row r="214" spans="1:5" x14ac:dyDescent="0.3">
      <c r="A214" t="s">
        <v>21</v>
      </c>
      <c r="B214" t="s">
        <v>396</v>
      </c>
      <c r="C214" t="s">
        <v>397</v>
      </c>
      <c r="D214" t="s">
        <v>370</v>
      </c>
      <c r="E214" s="4">
        <v>149273.47058823513</v>
      </c>
    </row>
    <row r="215" spans="1:5" x14ac:dyDescent="0.3">
      <c r="A215" t="s">
        <v>21</v>
      </c>
      <c r="B215" t="s">
        <v>398</v>
      </c>
      <c r="C215" t="s">
        <v>399</v>
      </c>
      <c r="D215" t="s">
        <v>400</v>
      </c>
      <c r="E215" s="4">
        <v>16702.2</v>
      </c>
    </row>
    <row r="216" spans="1:5" x14ac:dyDescent="0.3">
      <c r="A216" t="s">
        <v>21</v>
      </c>
      <c r="B216" t="s">
        <v>401</v>
      </c>
      <c r="C216" t="s">
        <v>402</v>
      </c>
      <c r="D216" t="s">
        <v>400</v>
      </c>
      <c r="E216" s="4">
        <v>35840.956235294114</v>
      </c>
    </row>
    <row r="217" spans="1:5" x14ac:dyDescent="0.3">
      <c r="A217" t="s">
        <v>21</v>
      </c>
      <c r="B217" t="s">
        <v>403</v>
      </c>
      <c r="C217" t="s">
        <v>55</v>
      </c>
      <c r="D217" t="s">
        <v>55</v>
      </c>
      <c r="E217" s="4">
        <v>0</v>
      </c>
    </row>
    <row r="218" spans="1:5" x14ac:dyDescent="0.3">
      <c r="A218" t="s">
        <v>21</v>
      </c>
      <c r="B218" t="s">
        <v>403</v>
      </c>
      <c r="C218" t="s">
        <v>404</v>
      </c>
      <c r="D218" t="s">
        <v>370</v>
      </c>
      <c r="E218" s="4">
        <v>27551.091176470592</v>
      </c>
    </row>
    <row r="219" spans="1:5" x14ac:dyDescent="0.3">
      <c r="A219" t="s">
        <v>21</v>
      </c>
      <c r="B219" t="s">
        <v>403</v>
      </c>
      <c r="C219" t="s">
        <v>405</v>
      </c>
      <c r="D219" t="s">
        <v>370</v>
      </c>
      <c r="E219" s="4">
        <v>26537.505882352951</v>
      </c>
    </row>
    <row r="220" spans="1:5" x14ac:dyDescent="0.3">
      <c r="A220" t="s">
        <v>21</v>
      </c>
      <c r="B220" t="s">
        <v>406</v>
      </c>
      <c r="C220" t="s">
        <v>407</v>
      </c>
      <c r="D220" t="s">
        <v>408</v>
      </c>
      <c r="E220" s="4">
        <v>101050</v>
      </c>
    </row>
    <row r="221" spans="1:5" x14ac:dyDescent="0.3">
      <c r="A221" t="s">
        <v>21</v>
      </c>
      <c r="B221" t="s">
        <v>409</v>
      </c>
      <c r="C221" t="s">
        <v>410</v>
      </c>
      <c r="D221" t="s">
        <v>408</v>
      </c>
      <c r="E221" s="4">
        <v>70735</v>
      </c>
    </row>
    <row r="222" spans="1:5" x14ac:dyDescent="0.3">
      <c r="A222" t="s">
        <v>21</v>
      </c>
      <c r="B222" t="s">
        <v>411</v>
      </c>
      <c r="C222" t="s">
        <v>42</v>
      </c>
      <c r="D222" t="s">
        <v>42</v>
      </c>
      <c r="E222" s="4" t="s">
        <v>42</v>
      </c>
    </row>
    <row r="223" spans="1:5" x14ac:dyDescent="0.3">
      <c r="A223" t="s">
        <v>21</v>
      </c>
      <c r="B223" t="s">
        <v>412</v>
      </c>
      <c r="C223" t="s">
        <v>42</v>
      </c>
      <c r="D223" t="s">
        <v>42</v>
      </c>
      <c r="E223" s="4" t="s">
        <v>42</v>
      </c>
    </row>
    <row r="224" spans="1:5" x14ac:dyDescent="0.3">
      <c r="A224" t="s">
        <v>21</v>
      </c>
      <c r="B224" t="s">
        <v>413</v>
      </c>
      <c r="C224" t="s">
        <v>414</v>
      </c>
      <c r="D224" t="s">
        <v>415</v>
      </c>
      <c r="E224" s="4">
        <v>371160</v>
      </c>
    </row>
    <row r="225" spans="1:5" x14ac:dyDescent="0.3">
      <c r="A225" t="s">
        <v>21</v>
      </c>
      <c r="B225" t="s">
        <v>416</v>
      </c>
      <c r="C225" t="s">
        <v>417</v>
      </c>
      <c r="D225" t="s">
        <v>418</v>
      </c>
      <c r="E225" s="4">
        <v>67233.600000000006</v>
      </c>
    </row>
    <row r="226" spans="1:5" x14ac:dyDescent="0.3">
      <c r="A226" t="s">
        <v>21</v>
      </c>
      <c r="B226" t="s">
        <v>419</v>
      </c>
      <c r="C226" t="s">
        <v>420</v>
      </c>
      <c r="D226" t="s">
        <v>421</v>
      </c>
      <c r="E226" s="4">
        <v>67233.600000000006</v>
      </c>
    </row>
    <row r="227" spans="1:5" x14ac:dyDescent="0.3">
      <c r="A227" t="s">
        <v>21</v>
      </c>
      <c r="B227" t="s">
        <v>419</v>
      </c>
      <c r="C227" t="s">
        <v>422</v>
      </c>
      <c r="D227" t="s">
        <v>421</v>
      </c>
      <c r="E227" s="4">
        <v>67233.600000000006</v>
      </c>
    </row>
    <row r="228" spans="1:5" x14ac:dyDescent="0.3">
      <c r="A228" t="s">
        <v>21</v>
      </c>
      <c r="B228" t="s">
        <v>419</v>
      </c>
      <c r="C228" t="s">
        <v>423</v>
      </c>
      <c r="D228" t="s">
        <v>421</v>
      </c>
      <c r="E228" s="4">
        <v>67233.600000000006</v>
      </c>
    </row>
    <row r="229" spans="1:5" x14ac:dyDescent="0.3">
      <c r="A229" t="s">
        <v>21</v>
      </c>
      <c r="B229" t="s">
        <v>424</v>
      </c>
      <c r="C229" t="s">
        <v>55</v>
      </c>
      <c r="D229" t="s">
        <v>55</v>
      </c>
      <c r="E229" s="4">
        <v>0</v>
      </c>
    </row>
    <row r="230" spans="1:5" x14ac:dyDescent="0.3">
      <c r="A230" t="s">
        <v>21</v>
      </c>
      <c r="B230" t="s">
        <v>424</v>
      </c>
      <c r="C230" t="s">
        <v>425</v>
      </c>
      <c r="D230" t="s">
        <v>376</v>
      </c>
      <c r="E230" s="4">
        <v>279749.54117647052</v>
      </c>
    </row>
    <row r="231" spans="1:5" x14ac:dyDescent="0.3">
      <c r="A231" t="s">
        <v>21</v>
      </c>
      <c r="B231" t="s">
        <v>426</v>
      </c>
      <c r="C231" t="s">
        <v>427</v>
      </c>
      <c r="D231" t="s">
        <v>376</v>
      </c>
      <c r="E231" s="4">
        <v>0</v>
      </c>
    </row>
    <row r="232" spans="1:5" x14ac:dyDescent="0.3">
      <c r="A232" t="s">
        <v>21</v>
      </c>
      <c r="B232" t="s">
        <v>426</v>
      </c>
      <c r="C232" t="s">
        <v>428</v>
      </c>
      <c r="D232" t="s">
        <v>376</v>
      </c>
      <c r="E232" s="4">
        <v>0</v>
      </c>
    </row>
    <row r="233" spans="1:5" x14ac:dyDescent="0.3">
      <c r="A233" t="s">
        <v>21</v>
      </c>
      <c r="B233" t="s">
        <v>429</v>
      </c>
      <c r="C233" t="s">
        <v>430</v>
      </c>
      <c r="D233" t="s">
        <v>376</v>
      </c>
      <c r="E233" s="4">
        <v>109688.35764705887</v>
      </c>
    </row>
    <row r="234" spans="1:5" x14ac:dyDescent="0.3">
      <c r="A234" t="s">
        <v>21</v>
      </c>
      <c r="B234" t="s">
        <v>431</v>
      </c>
      <c r="C234" t="s">
        <v>432</v>
      </c>
      <c r="D234" t="s">
        <v>433</v>
      </c>
      <c r="E234" s="4">
        <v>180602.47058823527</v>
      </c>
    </row>
    <row r="235" spans="1:5" x14ac:dyDescent="0.3">
      <c r="A235" t="s">
        <v>21</v>
      </c>
      <c r="B235" t="s">
        <v>431</v>
      </c>
      <c r="C235" t="s">
        <v>55</v>
      </c>
      <c r="D235" t="s">
        <v>433</v>
      </c>
      <c r="E235" s="4">
        <v>0</v>
      </c>
    </row>
    <row r="236" spans="1:5" x14ac:dyDescent="0.3">
      <c r="A236" t="s">
        <v>21</v>
      </c>
      <c r="B236" t="s">
        <v>434</v>
      </c>
      <c r="C236" t="s">
        <v>435</v>
      </c>
      <c r="D236" t="s">
        <v>376</v>
      </c>
      <c r="E236" s="4">
        <v>243260.47058823536</v>
      </c>
    </row>
    <row r="237" spans="1:5" x14ac:dyDescent="0.3">
      <c r="A237" t="s">
        <v>21</v>
      </c>
      <c r="B237" t="s">
        <v>436</v>
      </c>
      <c r="C237" t="s">
        <v>437</v>
      </c>
      <c r="D237" t="s">
        <v>433</v>
      </c>
      <c r="E237" s="4">
        <v>243260.47058823507</v>
      </c>
    </row>
    <row r="238" spans="1:5" x14ac:dyDescent="0.3">
      <c r="A238" t="s">
        <v>21</v>
      </c>
      <c r="B238" t="s">
        <v>438</v>
      </c>
      <c r="C238" t="s">
        <v>439</v>
      </c>
      <c r="D238" t="s">
        <v>376</v>
      </c>
      <c r="E238" s="4">
        <v>132687.52941176464</v>
      </c>
    </row>
    <row r="239" spans="1:5" x14ac:dyDescent="0.3">
      <c r="A239" t="s">
        <v>21</v>
      </c>
      <c r="B239" t="s">
        <v>440</v>
      </c>
      <c r="C239" t="s">
        <v>441</v>
      </c>
      <c r="D239" t="s">
        <v>376</v>
      </c>
      <c r="E239" s="4">
        <v>67910.214705882303</v>
      </c>
    </row>
    <row r="240" spans="1:5" x14ac:dyDescent="0.3">
      <c r="A240" t="s">
        <v>21</v>
      </c>
      <c r="B240" t="s">
        <v>440</v>
      </c>
      <c r="C240" t="s">
        <v>55</v>
      </c>
      <c r="D240" t="s">
        <v>55</v>
      </c>
      <c r="E240" s="4">
        <v>0</v>
      </c>
    </row>
    <row r="241" spans="1:5" x14ac:dyDescent="0.3">
      <c r="A241" t="s">
        <v>21</v>
      </c>
      <c r="B241" t="s">
        <v>442</v>
      </c>
      <c r="C241" t="s">
        <v>55</v>
      </c>
      <c r="D241" t="s">
        <v>55</v>
      </c>
      <c r="E241" s="4">
        <v>0</v>
      </c>
    </row>
    <row r="242" spans="1:5" x14ac:dyDescent="0.3">
      <c r="A242" t="s">
        <v>21</v>
      </c>
      <c r="B242" t="s">
        <v>442</v>
      </c>
      <c r="C242" t="s">
        <v>443</v>
      </c>
      <c r="D242" t="s">
        <v>376</v>
      </c>
      <c r="E242" s="4">
        <v>50518.012500000041</v>
      </c>
    </row>
    <row r="243" spans="1:5" x14ac:dyDescent="0.3">
      <c r="A243" t="s">
        <v>21</v>
      </c>
      <c r="B243" t="s">
        <v>444</v>
      </c>
      <c r="C243" t="s">
        <v>55</v>
      </c>
      <c r="D243" t="s">
        <v>55</v>
      </c>
      <c r="E243" s="4">
        <v>0</v>
      </c>
    </row>
    <row r="244" spans="1:5" x14ac:dyDescent="0.3">
      <c r="A244" t="s">
        <v>21</v>
      </c>
      <c r="B244" t="s">
        <v>444</v>
      </c>
      <c r="C244" t="s">
        <v>445</v>
      </c>
      <c r="D244" t="s">
        <v>376</v>
      </c>
      <c r="E244" s="4">
        <v>50863.552941176444</v>
      </c>
    </row>
    <row r="245" spans="1:5" x14ac:dyDescent="0.3">
      <c r="A245" t="s">
        <v>21</v>
      </c>
      <c r="B245" t="s">
        <v>446</v>
      </c>
      <c r="C245" t="s">
        <v>447</v>
      </c>
      <c r="D245" t="s">
        <v>376</v>
      </c>
      <c r="E245" s="4">
        <v>39806.258823529373</v>
      </c>
    </row>
    <row r="246" spans="1:5" x14ac:dyDescent="0.3">
      <c r="A246" t="s">
        <v>21</v>
      </c>
      <c r="B246" t="s">
        <v>448</v>
      </c>
      <c r="C246" t="s">
        <v>55</v>
      </c>
      <c r="D246" t="s">
        <v>55</v>
      </c>
      <c r="E246" s="4">
        <v>0</v>
      </c>
    </row>
    <row r="247" spans="1:5" x14ac:dyDescent="0.3">
      <c r="A247" t="s">
        <v>21</v>
      </c>
      <c r="B247" t="s">
        <v>448</v>
      </c>
      <c r="C247" t="s">
        <v>449</v>
      </c>
      <c r="D247" t="s">
        <v>376</v>
      </c>
      <c r="E247" s="4">
        <v>110941.51764705892</v>
      </c>
    </row>
    <row r="248" spans="1:5" x14ac:dyDescent="0.3">
      <c r="A248" t="s">
        <v>21</v>
      </c>
      <c r="B248" t="s">
        <v>450</v>
      </c>
      <c r="C248" t="s">
        <v>451</v>
      </c>
      <c r="D248" t="s">
        <v>433</v>
      </c>
      <c r="E248" s="4">
        <v>97027.755882352852</v>
      </c>
    </row>
    <row r="249" spans="1:5" x14ac:dyDescent="0.3">
      <c r="A249" t="s">
        <v>21</v>
      </c>
      <c r="B249" t="s">
        <v>450</v>
      </c>
      <c r="C249" t="s">
        <v>55</v>
      </c>
      <c r="D249" t="s">
        <v>433</v>
      </c>
      <c r="E249" s="4">
        <v>0</v>
      </c>
    </row>
    <row r="250" spans="1:5" x14ac:dyDescent="0.3">
      <c r="A250" t="s">
        <v>21</v>
      </c>
      <c r="B250" t="s">
        <v>452</v>
      </c>
      <c r="C250" t="s">
        <v>55</v>
      </c>
      <c r="D250" t="s">
        <v>433</v>
      </c>
      <c r="E250" s="4">
        <v>0</v>
      </c>
    </row>
    <row r="251" spans="1:5" x14ac:dyDescent="0.3">
      <c r="A251" t="s">
        <v>21</v>
      </c>
      <c r="B251" t="s">
        <v>452</v>
      </c>
      <c r="C251" t="s">
        <v>453</v>
      </c>
      <c r="D251" t="s">
        <v>433</v>
      </c>
      <c r="E251" s="4">
        <v>56392.200000000004</v>
      </c>
    </row>
    <row r="252" spans="1:5" x14ac:dyDescent="0.3">
      <c r="A252" t="s">
        <v>21</v>
      </c>
      <c r="B252" t="s">
        <v>454</v>
      </c>
      <c r="C252" t="s">
        <v>455</v>
      </c>
      <c r="D252" t="s">
        <v>456</v>
      </c>
      <c r="E252" s="4">
        <v>207069.17647058822</v>
      </c>
    </row>
    <row r="253" spans="1:5" x14ac:dyDescent="0.3">
      <c r="A253" t="s">
        <v>21</v>
      </c>
      <c r="B253" t="s">
        <v>457</v>
      </c>
      <c r="C253" t="s">
        <v>53</v>
      </c>
      <c r="D253" t="s">
        <v>456</v>
      </c>
      <c r="E253" s="4">
        <v>0</v>
      </c>
    </row>
    <row r="254" spans="1:5" x14ac:dyDescent="0.3">
      <c r="A254" t="s">
        <v>21</v>
      </c>
      <c r="B254" t="s">
        <v>458</v>
      </c>
      <c r="C254" t="s">
        <v>459</v>
      </c>
      <c r="D254" t="s">
        <v>456</v>
      </c>
      <c r="E254" s="4">
        <v>6596.8941176470571</v>
      </c>
    </row>
    <row r="255" spans="1:5" x14ac:dyDescent="0.3">
      <c r="A255" t="s">
        <v>21</v>
      </c>
      <c r="B255" t="s">
        <v>460</v>
      </c>
      <c r="C255" t="s">
        <v>461</v>
      </c>
      <c r="D255" t="s">
        <v>456</v>
      </c>
      <c r="E255" s="4">
        <v>62304</v>
      </c>
    </row>
    <row r="256" spans="1:5" x14ac:dyDescent="0.3">
      <c r="A256" t="s">
        <v>21</v>
      </c>
      <c r="B256" t="s">
        <v>462</v>
      </c>
      <c r="C256" t="s">
        <v>463</v>
      </c>
      <c r="D256" t="s">
        <v>456</v>
      </c>
      <c r="E256" s="4">
        <v>9345.6</v>
      </c>
    </row>
    <row r="257" spans="1:5" x14ac:dyDescent="0.3">
      <c r="A257" t="s">
        <v>21</v>
      </c>
      <c r="B257" t="s">
        <v>464</v>
      </c>
      <c r="C257" t="s">
        <v>465</v>
      </c>
      <c r="D257" t="s">
        <v>456</v>
      </c>
      <c r="E257" s="4">
        <v>30541.176470588234</v>
      </c>
    </row>
    <row r="258" spans="1:5" x14ac:dyDescent="0.3">
      <c r="A258" t="s">
        <v>21</v>
      </c>
      <c r="B258" t="s">
        <v>466</v>
      </c>
      <c r="C258" t="s">
        <v>467</v>
      </c>
      <c r="D258" t="s">
        <v>456</v>
      </c>
      <c r="E258" s="4">
        <v>4275.7647058823532</v>
      </c>
    </row>
    <row r="259" spans="1:5" x14ac:dyDescent="0.3">
      <c r="A259" t="s">
        <v>21</v>
      </c>
      <c r="B259" t="s">
        <v>468</v>
      </c>
      <c r="C259" t="s">
        <v>469</v>
      </c>
      <c r="D259" t="s">
        <v>456</v>
      </c>
      <c r="E259" s="4">
        <v>20523.670588235294</v>
      </c>
    </row>
    <row r="260" spans="1:5" x14ac:dyDescent="0.3">
      <c r="A260" t="s">
        <v>21</v>
      </c>
      <c r="B260" t="s">
        <v>470</v>
      </c>
      <c r="C260" t="s">
        <v>471</v>
      </c>
      <c r="D260" t="s">
        <v>456</v>
      </c>
      <c r="E260" s="4">
        <v>47644.235294117643</v>
      </c>
    </row>
    <row r="261" spans="1:5" x14ac:dyDescent="0.3">
      <c r="A261" t="s">
        <v>21</v>
      </c>
      <c r="B261" t="s">
        <v>472</v>
      </c>
      <c r="C261" t="s">
        <v>473</v>
      </c>
      <c r="D261" t="s">
        <v>456</v>
      </c>
      <c r="E261" s="4">
        <v>10261.835294117647</v>
      </c>
    </row>
    <row r="262" spans="1:5" x14ac:dyDescent="0.3">
      <c r="A262" t="s">
        <v>21</v>
      </c>
      <c r="B262" t="s">
        <v>474</v>
      </c>
      <c r="C262" t="s">
        <v>475</v>
      </c>
      <c r="D262" t="s">
        <v>456</v>
      </c>
      <c r="E262" s="4">
        <v>6596.8941176470589</v>
      </c>
    </row>
    <row r="263" spans="1:5" x14ac:dyDescent="0.3">
      <c r="A263" t="s">
        <v>21</v>
      </c>
      <c r="B263" t="s">
        <v>476</v>
      </c>
      <c r="C263" t="s">
        <v>477</v>
      </c>
      <c r="D263" t="s">
        <v>477</v>
      </c>
      <c r="E263" s="4">
        <v>0</v>
      </c>
    </row>
    <row r="264" spans="1:5" x14ac:dyDescent="0.3">
      <c r="A264" t="s">
        <v>21</v>
      </c>
      <c r="B264" t="s">
        <v>478</v>
      </c>
      <c r="C264" t="s">
        <v>477</v>
      </c>
      <c r="D264" t="s">
        <v>477</v>
      </c>
      <c r="E264" s="4">
        <v>0</v>
      </c>
    </row>
    <row r="265" spans="1:5" x14ac:dyDescent="0.3">
      <c r="A265" t="s">
        <v>21</v>
      </c>
      <c r="B265" t="s">
        <v>479</v>
      </c>
      <c r="C265" t="s">
        <v>477</v>
      </c>
      <c r="D265" t="s">
        <v>477</v>
      </c>
      <c r="E265" s="4">
        <v>0</v>
      </c>
    </row>
    <row r="266" spans="1:5" x14ac:dyDescent="0.3">
      <c r="A266" t="s">
        <v>21</v>
      </c>
      <c r="B266" t="s">
        <v>480</v>
      </c>
      <c r="C266" t="s">
        <v>481</v>
      </c>
      <c r="D266" t="s">
        <v>456</v>
      </c>
      <c r="E266" s="4">
        <v>3664.9411764705887</v>
      </c>
    </row>
    <row r="267" spans="1:5" x14ac:dyDescent="0.3">
      <c r="A267" t="s">
        <v>21</v>
      </c>
      <c r="B267" t="s">
        <v>482</v>
      </c>
      <c r="C267" t="s">
        <v>483</v>
      </c>
      <c r="D267" t="s">
        <v>421</v>
      </c>
      <c r="E267" s="4">
        <v>35857.919999999998</v>
      </c>
    </row>
    <row r="268" spans="1:5" x14ac:dyDescent="0.3">
      <c r="A268" t="s">
        <v>21</v>
      </c>
      <c r="B268" t="s">
        <v>482</v>
      </c>
      <c r="C268" t="s">
        <v>484</v>
      </c>
      <c r="D268" t="s">
        <v>421</v>
      </c>
      <c r="E268" s="4">
        <v>35857.919999999998</v>
      </c>
    </row>
    <row r="269" spans="1:5" x14ac:dyDescent="0.3">
      <c r="A269" t="s">
        <v>21</v>
      </c>
      <c r="B269" t="s">
        <v>482</v>
      </c>
      <c r="C269" t="s">
        <v>485</v>
      </c>
      <c r="D269" t="s">
        <v>421</v>
      </c>
      <c r="E269" s="4">
        <v>35857.919999999998</v>
      </c>
    </row>
    <row r="270" spans="1:5" x14ac:dyDescent="0.3">
      <c r="A270" t="s">
        <v>21</v>
      </c>
      <c r="B270" t="s">
        <v>482</v>
      </c>
      <c r="C270" t="s">
        <v>486</v>
      </c>
      <c r="D270" t="s">
        <v>421</v>
      </c>
      <c r="E270" s="4">
        <v>35857.919999999998</v>
      </c>
    </row>
    <row r="271" spans="1:5" x14ac:dyDescent="0.3">
      <c r="A271" t="s">
        <v>21</v>
      </c>
      <c r="B271" t="s">
        <v>487</v>
      </c>
      <c r="C271" t="s">
        <v>488</v>
      </c>
      <c r="D271" t="s">
        <v>489</v>
      </c>
      <c r="E271" s="4">
        <v>120627</v>
      </c>
    </row>
    <row r="272" spans="1:5" x14ac:dyDescent="0.3">
      <c r="A272" t="s">
        <v>21</v>
      </c>
      <c r="B272" t="s">
        <v>490</v>
      </c>
      <c r="C272" t="s">
        <v>491</v>
      </c>
      <c r="D272" t="s">
        <v>421</v>
      </c>
      <c r="E272" s="4">
        <v>87348.311152941169</v>
      </c>
    </row>
    <row r="273" spans="1:5" x14ac:dyDescent="0.3">
      <c r="A273" t="s">
        <v>21</v>
      </c>
      <c r="B273" t="s">
        <v>490</v>
      </c>
      <c r="C273" t="s">
        <v>492</v>
      </c>
      <c r="D273" t="s">
        <v>421</v>
      </c>
      <c r="E273" s="4">
        <v>87348.311152941169</v>
      </c>
    </row>
    <row r="274" spans="1:5" x14ac:dyDescent="0.3">
      <c r="A274" t="s">
        <v>21</v>
      </c>
      <c r="B274" t="s">
        <v>490</v>
      </c>
      <c r="C274" t="s">
        <v>493</v>
      </c>
      <c r="D274" t="s">
        <v>421</v>
      </c>
      <c r="E274" s="4">
        <v>87348.311152941169</v>
      </c>
    </row>
    <row r="275" spans="1:5" x14ac:dyDescent="0.3">
      <c r="A275" t="s">
        <v>21</v>
      </c>
      <c r="B275" t="s">
        <v>490</v>
      </c>
      <c r="C275" t="s">
        <v>53</v>
      </c>
      <c r="D275" t="s">
        <v>421</v>
      </c>
      <c r="E275" s="4">
        <v>0</v>
      </c>
    </row>
    <row r="276" spans="1:5" x14ac:dyDescent="0.3">
      <c r="A276" t="s">
        <v>21</v>
      </c>
      <c r="B276" t="s">
        <v>494</v>
      </c>
      <c r="C276" t="s">
        <v>495</v>
      </c>
      <c r="D276" t="s">
        <v>496</v>
      </c>
      <c r="E276" s="4">
        <v>124608</v>
      </c>
    </row>
    <row r="277" spans="1:5" x14ac:dyDescent="0.3">
      <c r="A277" t="s">
        <v>21</v>
      </c>
      <c r="B277" t="s">
        <v>497</v>
      </c>
      <c r="C277" t="s">
        <v>498</v>
      </c>
      <c r="D277" t="s">
        <v>496</v>
      </c>
      <c r="E277" s="4">
        <v>18691.2</v>
      </c>
    </row>
    <row r="278" spans="1:5" x14ac:dyDescent="0.3">
      <c r="A278" t="s">
        <v>21</v>
      </c>
      <c r="B278" t="s">
        <v>499</v>
      </c>
      <c r="C278" t="s">
        <v>500</v>
      </c>
      <c r="D278" t="s">
        <v>496</v>
      </c>
      <c r="E278" s="4">
        <v>34083.952941176467</v>
      </c>
    </row>
    <row r="279" spans="1:5" x14ac:dyDescent="0.3">
      <c r="A279" t="s">
        <v>21</v>
      </c>
      <c r="B279" t="s">
        <v>501</v>
      </c>
      <c r="C279" t="s">
        <v>502</v>
      </c>
      <c r="D279" t="s">
        <v>496</v>
      </c>
      <c r="E279" s="4">
        <v>3176.2823529411762</v>
      </c>
    </row>
    <row r="280" spans="1:5" x14ac:dyDescent="0.3">
      <c r="A280" t="s">
        <v>21</v>
      </c>
      <c r="B280" t="s">
        <v>503</v>
      </c>
      <c r="C280" t="s">
        <v>504</v>
      </c>
      <c r="D280" t="s">
        <v>496</v>
      </c>
      <c r="E280" s="4">
        <v>4581.1764705882351</v>
      </c>
    </row>
    <row r="281" spans="1:5" x14ac:dyDescent="0.3">
      <c r="A281" t="s">
        <v>21</v>
      </c>
      <c r="B281" t="s">
        <v>505</v>
      </c>
      <c r="C281" t="s">
        <v>506</v>
      </c>
      <c r="D281" t="s">
        <v>496</v>
      </c>
      <c r="E281" s="4">
        <v>414138.3529411765</v>
      </c>
    </row>
    <row r="282" spans="1:5" x14ac:dyDescent="0.3">
      <c r="A282" t="s">
        <v>21</v>
      </c>
      <c r="B282" t="s">
        <v>507</v>
      </c>
      <c r="C282" t="s">
        <v>508</v>
      </c>
      <c r="D282" t="s">
        <v>496</v>
      </c>
      <c r="E282" s="4">
        <v>0</v>
      </c>
    </row>
    <row r="283" spans="1:5" x14ac:dyDescent="0.3">
      <c r="A283" t="s">
        <v>21</v>
      </c>
      <c r="B283" t="s">
        <v>509</v>
      </c>
      <c r="C283" t="s">
        <v>510</v>
      </c>
      <c r="D283" t="s">
        <v>496</v>
      </c>
      <c r="E283" s="4">
        <v>13193.788235294118</v>
      </c>
    </row>
    <row r="284" spans="1:5" x14ac:dyDescent="0.3">
      <c r="A284" t="s">
        <v>21</v>
      </c>
      <c r="B284" t="s">
        <v>511</v>
      </c>
      <c r="C284" t="s">
        <v>512</v>
      </c>
      <c r="D284" t="s">
        <v>496</v>
      </c>
      <c r="E284" s="4">
        <v>61082.352941176476</v>
      </c>
    </row>
    <row r="285" spans="1:5" x14ac:dyDescent="0.3">
      <c r="A285" t="s">
        <v>21</v>
      </c>
      <c r="B285" t="s">
        <v>513</v>
      </c>
      <c r="C285" t="s">
        <v>514</v>
      </c>
      <c r="D285" t="s">
        <v>496</v>
      </c>
      <c r="E285" s="4">
        <v>8551.5294117647063</v>
      </c>
    </row>
    <row r="286" spans="1:5" x14ac:dyDescent="0.3">
      <c r="A286" t="s">
        <v>21</v>
      </c>
      <c r="B286" t="s">
        <v>515</v>
      </c>
      <c r="C286" t="s">
        <v>516</v>
      </c>
      <c r="D286" t="s">
        <v>496</v>
      </c>
      <c r="E286" s="4">
        <v>41047.341176470596</v>
      </c>
    </row>
    <row r="287" spans="1:5" x14ac:dyDescent="0.3">
      <c r="A287" t="s">
        <v>21</v>
      </c>
      <c r="B287" t="s">
        <v>517</v>
      </c>
      <c r="C287" t="s">
        <v>518</v>
      </c>
      <c r="D287" t="s">
        <v>496</v>
      </c>
      <c r="E287" s="4">
        <v>95288.470588235316</v>
      </c>
    </row>
    <row r="288" spans="1:5" x14ac:dyDescent="0.3">
      <c r="A288" t="s">
        <v>21</v>
      </c>
      <c r="B288" t="s">
        <v>519</v>
      </c>
      <c r="C288" t="s">
        <v>520</v>
      </c>
      <c r="D288" t="s">
        <v>496</v>
      </c>
      <c r="E288" s="4">
        <v>20523.670588235291</v>
      </c>
    </row>
    <row r="289" spans="1:5" x14ac:dyDescent="0.3">
      <c r="A289" t="s">
        <v>21</v>
      </c>
      <c r="B289" t="s">
        <v>521</v>
      </c>
      <c r="C289" t="s">
        <v>522</v>
      </c>
      <c r="D289" t="s">
        <v>496</v>
      </c>
      <c r="E289" s="4">
        <v>13193.78823529412</v>
      </c>
    </row>
    <row r="290" spans="1:5" x14ac:dyDescent="0.3">
      <c r="A290" t="s">
        <v>21</v>
      </c>
      <c r="B290" t="s">
        <v>523</v>
      </c>
      <c r="C290" t="s">
        <v>524</v>
      </c>
      <c r="D290" t="s">
        <v>496</v>
      </c>
      <c r="E290" s="4">
        <v>7329.8823529411729</v>
      </c>
    </row>
    <row r="291" spans="1:5" x14ac:dyDescent="0.3">
      <c r="A291" t="s">
        <v>21</v>
      </c>
      <c r="B291" t="s">
        <v>525</v>
      </c>
      <c r="C291" t="s">
        <v>526</v>
      </c>
      <c r="D291" t="s">
        <v>496</v>
      </c>
      <c r="E291" s="4">
        <v>54729.788235294152</v>
      </c>
    </row>
    <row r="292" spans="1:5" x14ac:dyDescent="0.3">
      <c r="A292" t="s">
        <v>21</v>
      </c>
      <c r="B292" t="s">
        <v>527</v>
      </c>
      <c r="C292" t="s">
        <v>528</v>
      </c>
      <c r="D292" t="s">
        <v>529</v>
      </c>
      <c r="E292" s="4">
        <v>167022</v>
      </c>
    </row>
    <row r="293" spans="1:5" x14ac:dyDescent="0.3">
      <c r="A293" t="s">
        <v>21</v>
      </c>
      <c r="B293" t="s">
        <v>530</v>
      </c>
      <c r="C293" t="s">
        <v>531</v>
      </c>
      <c r="D293" t="s">
        <v>529</v>
      </c>
      <c r="E293" s="4">
        <v>74232</v>
      </c>
    </row>
    <row r="294" spans="1:5" x14ac:dyDescent="0.3">
      <c r="A294" t="s">
        <v>21</v>
      </c>
      <c r="B294" t="s">
        <v>530</v>
      </c>
      <c r="C294" t="s">
        <v>532</v>
      </c>
      <c r="D294" t="s">
        <v>529</v>
      </c>
      <c r="E294" s="4">
        <v>92790</v>
      </c>
    </row>
    <row r="295" spans="1:5" x14ac:dyDescent="0.3">
      <c r="A295" t="s">
        <v>21</v>
      </c>
      <c r="B295" t="s">
        <v>530</v>
      </c>
      <c r="C295" t="s">
        <v>533</v>
      </c>
      <c r="D295" t="s">
        <v>529</v>
      </c>
      <c r="E295" s="4">
        <v>92790</v>
      </c>
    </row>
    <row r="296" spans="1:5" x14ac:dyDescent="0.3">
      <c r="A296" t="s">
        <v>21</v>
      </c>
      <c r="B296" t="s">
        <v>534</v>
      </c>
      <c r="C296" t="s">
        <v>535</v>
      </c>
      <c r="D296" t="s">
        <v>496</v>
      </c>
      <c r="E296" s="4">
        <v>8795.8588235294064</v>
      </c>
    </row>
    <row r="297" spans="1:5" x14ac:dyDescent="0.3">
      <c r="A297" t="s">
        <v>21</v>
      </c>
      <c r="B297" t="s">
        <v>536</v>
      </c>
      <c r="C297" t="s">
        <v>537</v>
      </c>
      <c r="D297" t="s">
        <v>529</v>
      </c>
      <c r="E297" s="4">
        <v>0</v>
      </c>
    </row>
    <row r="298" spans="1:5" x14ac:dyDescent="0.3">
      <c r="A298" t="s">
        <v>21</v>
      </c>
      <c r="B298" t="s">
        <v>536</v>
      </c>
      <c r="C298" t="s">
        <v>53</v>
      </c>
      <c r="D298" t="s">
        <v>529</v>
      </c>
      <c r="E298" s="4">
        <v>649530</v>
      </c>
    </row>
    <row r="299" spans="1:5" x14ac:dyDescent="0.3">
      <c r="A299" t="s">
        <v>21</v>
      </c>
      <c r="B299" t="s">
        <v>538</v>
      </c>
      <c r="C299" t="s">
        <v>539</v>
      </c>
      <c r="D299" t="s">
        <v>529</v>
      </c>
      <c r="E299" s="4">
        <v>881505</v>
      </c>
    </row>
    <row r="300" spans="1:5" x14ac:dyDescent="0.3">
      <c r="A300" t="s">
        <v>21</v>
      </c>
      <c r="B300" t="s">
        <v>540</v>
      </c>
      <c r="C300" t="s">
        <v>541</v>
      </c>
      <c r="D300" t="s">
        <v>529</v>
      </c>
      <c r="E300" s="4">
        <v>64953</v>
      </c>
    </row>
    <row r="301" spans="1:5" x14ac:dyDescent="0.3">
      <c r="A301" t="s">
        <v>21</v>
      </c>
      <c r="B301" t="s">
        <v>540</v>
      </c>
      <c r="C301" t="s">
        <v>542</v>
      </c>
      <c r="D301" t="s">
        <v>529</v>
      </c>
      <c r="E301" s="4">
        <v>92790</v>
      </c>
    </row>
    <row r="302" spans="1:5" x14ac:dyDescent="0.3">
      <c r="A302" t="s">
        <v>21</v>
      </c>
      <c r="B302" t="s">
        <v>540</v>
      </c>
      <c r="C302" t="s">
        <v>543</v>
      </c>
      <c r="D302" t="s">
        <v>529</v>
      </c>
      <c r="E302" s="4">
        <v>92790</v>
      </c>
    </row>
    <row r="303" spans="1:5" x14ac:dyDescent="0.3">
      <c r="A303" t="s">
        <v>21</v>
      </c>
      <c r="B303" t="s">
        <v>544</v>
      </c>
      <c r="C303" t="s">
        <v>477</v>
      </c>
      <c r="D303" t="s">
        <v>53</v>
      </c>
    </row>
    <row r="304" spans="1:5" x14ac:dyDescent="0.3">
      <c r="A304" t="s">
        <v>21</v>
      </c>
      <c r="B304" t="s">
        <v>545</v>
      </c>
      <c r="C304" t="s">
        <v>546</v>
      </c>
      <c r="D304" t="s">
        <v>529</v>
      </c>
      <c r="E304" s="4">
        <v>556740</v>
      </c>
    </row>
    <row r="305" spans="1:5" x14ac:dyDescent="0.3">
      <c r="A305" t="s">
        <v>21</v>
      </c>
      <c r="B305" t="s">
        <v>547</v>
      </c>
      <c r="C305" t="s">
        <v>548</v>
      </c>
      <c r="D305" t="s">
        <v>421</v>
      </c>
      <c r="E305" s="4">
        <v>44822.400000000001</v>
      </c>
    </row>
    <row r="306" spans="1:5" x14ac:dyDescent="0.3">
      <c r="A306" t="s">
        <v>21</v>
      </c>
      <c r="B306" t="s">
        <v>549</v>
      </c>
      <c r="C306">
        <v>1000746</v>
      </c>
      <c r="D306" t="s">
        <v>421</v>
      </c>
      <c r="E306" s="4">
        <v>46690</v>
      </c>
    </row>
    <row r="307" spans="1:5" x14ac:dyDescent="0.3">
      <c r="A307" t="s">
        <v>21</v>
      </c>
      <c r="B307" t="s">
        <v>550</v>
      </c>
      <c r="C307" t="s">
        <v>551</v>
      </c>
      <c r="D307" t="s">
        <v>421</v>
      </c>
      <c r="E307" s="4">
        <v>16808.400000000001</v>
      </c>
    </row>
    <row r="308" spans="1:5" x14ac:dyDescent="0.3">
      <c r="A308" t="s">
        <v>21</v>
      </c>
      <c r="B308" t="s">
        <v>552</v>
      </c>
      <c r="C308" t="s">
        <v>553</v>
      </c>
      <c r="D308" t="s">
        <v>496</v>
      </c>
      <c r="E308" s="4">
        <v>1081157.6470588234</v>
      </c>
    </row>
    <row r="309" spans="1:5" x14ac:dyDescent="0.3">
      <c r="A309" t="s">
        <v>21</v>
      </c>
      <c r="B309" t="s">
        <v>554</v>
      </c>
      <c r="C309" t="s">
        <v>555</v>
      </c>
      <c r="D309" t="s">
        <v>496</v>
      </c>
      <c r="E309" s="4">
        <v>194425.1294117647</v>
      </c>
    </row>
    <row r="310" spans="1:5" x14ac:dyDescent="0.3">
      <c r="A310" t="s">
        <v>21</v>
      </c>
      <c r="B310" t="s">
        <v>556</v>
      </c>
      <c r="C310" t="s">
        <v>557</v>
      </c>
      <c r="D310" t="s">
        <v>496</v>
      </c>
      <c r="E310" s="4">
        <v>60471.529411764699</v>
      </c>
    </row>
    <row r="311" spans="1:5" x14ac:dyDescent="0.3">
      <c r="A311" t="s">
        <v>21</v>
      </c>
      <c r="B311" t="s">
        <v>556</v>
      </c>
      <c r="C311" t="s">
        <v>500</v>
      </c>
      <c r="D311" t="s">
        <v>496</v>
      </c>
      <c r="E311" s="4">
        <v>340839.52941176464</v>
      </c>
    </row>
    <row r="312" spans="1:5" x14ac:dyDescent="0.3">
      <c r="A312" t="s">
        <v>21</v>
      </c>
      <c r="B312" t="s">
        <v>558</v>
      </c>
      <c r="C312" t="s">
        <v>502</v>
      </c>
      <c r="D312" t="s">
        <v>496</v>
      </c>
      <c r="E312" s="4">
        <v>31762.823529411762</v>
      </c>
    </row>
    <row r="313" spans="1:5" x14ac:dyDescent="0.3">
      <c r="A313" t="s">
        <v>21</v>
      </c>
      <c r="B313" t="s">
        <v>558</v>
      </c>
      <c r="C313" t="s">
        <v>559</v>
      </c>
      <c r="D313" t="s">
        <v>496</v>
      </c>
      <c r="E313" s="4">
        <v>5497.4117647058829</v>
      </c>
    </row>
    <row r="314" spans="1:5" x14ac:dyDescent="0.3">
      <c r="A314" t="s">
        <v>21</v>
      </c>
      <c r="B314" t="s">
        <v>560</v>
      </c>
      <c r="C314" t="s">
        <v>561</v>
      </c>
      <c r="D314" t="s">
        <v>496</v>
      </c>
      <c r="E314" s="4">
        <v>32984.470588235279</v>
      </c>
    </row>
    <row r="315" spans="1:5" x14ac:dyDescent="0.3">
      <c r="A315" t="s">
        <v>21</v>
      </c>
      <c r="B315" t="s">
        <v>560</v>
      </c>
      <c r="C315" t="s">
        <v>504</v>
      </c>
      <c r="D315" t="s">
        <v>496</v>
      </c>
      <c r="E315" s="4">
        <v>45811.764705882364</v>
      </c>
    </row>
    <row r="316" spans="1:5" x14ac:dyDescent="0.3">
      <c r="A316" t="s">
        <v>21</v>
      </c>
      <c r="B316" t="s">
        <v>562</v>
      </c>
      <c r="C316" t="s">
        <v>55</v>
      </c>
      <c r="D316" t="s">
        <v>496</v>
      </c>
      <c r="E316" s="4">
        <v>0</v>
      </c>
    </row>
    <row r="317" spans="1:5" x14ac:dyDescent="0.3">
      <c r="A317" t="s">
        <v>21</v>
      </c>
      <c r="B317" t="s">
        <v>562</v>
      </c>
      <c r="C317" t="s">
        <v>563</v>
      </c>
      <c r="D317" t="s">
        <v>496</v>
      </c>
      <c r="E317" s="4">
        <v>1043286.5882352941</v>
      </c>
    </row>
    <row r="318" spans="1:5" x14ac:dyDescent="0.3">
      <c r="A318" t="s">
        <v>21</v>
      </c>
      <c r="B318" t="s">
        <v>562</v>
      </c>
      <c r="C318" t="s">
        <v>564</v>
      </c>
      <c r="D318" t="s">
        <v>496</v>
      </c>
      <c r="E318" s="4">
        <v>718328.47058823518</v>
      </c>
    </row>
    <row r="319" spans="1:5" x14ac:dyDescent="0.3">
      <c r="A319" t="s">
        <v>21</v>
      </c>
      <c r="B319" t="s">
        <v>562</v>
      </c>
      <c r="C319" t="s">
        <v>565</v>
      </c>
      <c r="D319" t="s">
        <v>496</v>
      </c>
      <c r="E319" s="4">
        <v>718328.47058823518</v>
      </c>
    </row>
    <row r="320" spans="1:5" x14ac:dyDescent="0.3">
      <c r="A320" t="s">
        <v>21</v>
      </c>
      <c r="B320" t="s">
        <v>566</v>
      </c>
      <c r="C320" t="s">
        <v>567</v>
      </c>
      <c r="D320" t="s">
        <v>496</v>
      </c>
      <c r="E320" s="4">
        <v>0</v>
      </c>
    </row>
    <row r="321" spans="1:5" x14ac:dyDescent="0.3">
      <c r="A321" t="s">
        <v>21</v>
      </c>
      <c r="B321" t="s">
        <v>566</v>
      </c>
      <c r="C321" t="s">
        <v>568</v>
      </c>
      <c r="D321" t="s">
        <v>496</v>
      </c>
      <c r="E321" s="4">
        <v>0</v>
      </c>
    </row>
    <row r="322" spans="1:5" x14ac:dyDescent="0.3">
      <c r="A322" t="s">
        <v>21</v>
      </c>
      <c r="B322" t="s">
        <v>566</v>
      </c>
      <c r="C322" t="s">
        <v>569</v>
      </c>
      <c r="D322" t="s">
        <v>496</v>
      </c>
      <c r="E322" s="4">
        <v>0</v>
      </c>
    </row>
    <row r="323" spans="1:5" x14ac:dyDescent="0.3">
      <c r="A323" t="s">
        <v>21</v>
      </c>
      <c r="B323" t="s">
        <v>570</v>
      </c>
      <c r="C323" t="s">
        <v>55</v>
      </c>
      <c r="D323" t="s">
        <v>496</v>
      </c>
      <c r="E323" s="4">
        <v>0</v>
      </c>
    </row>
    <row r="324" spans="1:5" x14ac:dyDescent="0.3">
      <c r="A324" t="s">
        <v>21</v>
      </c>
      <c r="B324" t="s">
        <v>570</v>
      </c>
      <c r="C324" t="s">
        <v>571</v>
      </c>
      <c r="D324" t="s">
        <v>496</v>
      </c>
      <c r="E324" s="4">
        <v>48377.223529411756</v>
      </c>
    </row>
    <row r="325" spans="1:5" x14ac:dyDescent="0.3">
      <c r="A325" t="s">
        <v>21</v>
      </c>
      <c r="B325" t="s">
        <v>570</v>
      </c>
      <c r="C325" t="s">
        <v>572</v>
      </c>
      <c r="D325" t="s">
        <v>496</v>
      </c>
      <c r="E325" s="4">
        <v>50576.18823529411</v>
      </c>
    </row>
    <row r="326" spans="1:5" x14ac:dyDescent="0.3">
      <c r="A326" t="s">
        <v>21</v>
      </c>
      <c r="B326" t="s">
        <v>573</v>
      </c>
      <c r="C326" t="s">
        <v>574</v>
      </c>
      <c r="D326" t="s">
        <v>496</v>
      </c>
      <c r="E326" s="4">
        <v>415360.00000000006</v>
      </c>
    </row>
    <row r="327" spans="1:5" x14ac:dyDescent="0.3">
      <c r="A327" t="s">
        <v>21</v>
      </c>
      <c r="B327" t="s">
        <v>575</v>
      </c>
      <c r="C327" t="s">
        <v>576</v>
      </c>
      <c r="D327" t="s">
        <v>496</v>
      </c>
      <c r="E327" s="4">
        <v>59249.882352941175</v>
      </c>
    </row>
    <row r="328" spans="1:5" x14ac:dyDescent="0.3">
      <c r="A328" t="s">
        <v>21</v>
      </c>
      <c r="B328" t="s">
        <v>577</v>
      </c>
      <c r="C328" t="s">
        <v>578</v>
      </c>
      <c r="D328" t="s">
        <v>496</v>
      </c>
      <c r="E328" s="4">
        <v>205236.70588235298</v>
      </c>
    </row>
    <row r="329" spans="1:5" x14ac:dyDescent="0.3">
      <c r="A329" t="s">
        <v>21</v>
      </c>
      <c r="B329" t="s">
        <v>579</v>
      </c>
      <c r="C329" t="s">
        <v>580</v>
      </c>
      <c r="D329" t="s">
        <v>496</v>
      </c>
      <c r="E329" s="4">
        <v>476442.35294117616</v>
      </c>
    </row>
    <row r="330" spans="1:5" x14ac:dyDescent="0.3">
      <c r="A330" t="s">
        <v>21</v>
      </c>
      <c r="B330" t="s">
        <v>581</v>
      </c>
      <c r="C330" t="s">
        <v>582</v>
      </c>
      <c r="D330" t="s">
        <v>496</v>
      </c>
      <c r="E330" s="4">
        <v>102618.35294117649</v>
      </c>
    </row>
    <row r="331" spans="1:5" x14ac:dyDescent="0.3">
      <c r="A331" t="s">
        <v>21</v>
      </c>
      <c r="B331" t="s">
        <v>583</v>
      </c>
      <c r="C331" t="s">
        <v>584</v>
      </c>
      <c r="D331" t="s">
        <v>496</v>
      </c>
      <c r="E331" s="4">
        <v>65968.941176470573</v>
      </c>
    </row>
    <row r="332" spans="1:5" x14ac:dyDescent="0.3">
      <c r="A332" t="s">
        <v>21</v>
      </c>
      <c r="B332" t="s">
        <v>585</v>
      </c>
      <c r="C332" t="s">
        <v>586</v>
      </c>
      <c r="D332" t="s">
        <v>496</v>
      </c>
      <c r="E332" s="4">
        <v>36649.411764705896</v>
      </c>
    </row>
    <row r="333" spans="1:5" x14ac:dyDescent="0.3">
      <c r="A333" t="s">
        <v>21</v>
      </c>
      <c r="B333" t="s">
        <v>587</v>
      </c>
      <c r="C333" t="s">
        <v>588</v>
      </c>
      <c r="D333" t="s">
        <v>496</v>
      </c>
      <c r="E333" s="4">
        <v>273648.94117647043</v>
      </c>
    </row>
    <row r="334" spans="1:5" x14ac:dyDescent="0.3">
      <c r="A334" t="s">
        <v>21</v>
      </c>
      <c r="B334" t="s">
        <v>589</v>
      </c>
      <c r="C334" t="s">
        <v>590</v>
      </c>
      <c r="D334" t="s">
        <v>496</v>
      </c>
      <c r="E334" s="4">
        <v>43979.294117647034</v>
      </c>
    </row>
    <row r="335" spans="1:5" x14ac:dyDescent="0.3">
      <c r="A335" t="s">
        <v>21</v>
      </c>
      <c r="B335" t="s">
        <v>591</v>
      </c>
      <c r="C335" t="s">
        <v>592</v>
      </c>
      <c r="D335" t="s">
        <v>593</v>
      </c>
      <c r="E335" s="4">
        <v>46100</v>
      </c>
    </row>
    <row r="336" spans="1:5" x14ac:dyDescent="0.3">
      <c r="A336" t="s">
        <v>21</v>
      </c>
      <c r="B336" t="s">
        <v>594</v>
      </c>
      <c r="C336" t="s">
        <v>595</v>
      </c>
      <c r="D336" t="s">
        <v>596</v>
      </c>
      <c r="E336" s="4">
        <v>230500</v>
      </c>
    </row>
    <row r="337" spans="1:5" x14ac:dyDescent="0.3">
      <c r="A337" t="s">
        <v>21</v>
      </c>
      <c r="B337" t="s">
        <v>597</v>
      </c>
      <c r="C337" t="s">
        <v>598</v>
      </c>
      <c r="D337" t="s">
        <v>421</v>
      </c>
      <c r="E337" s="4">
        <v>8964.48</v>
      </c>
    </row>
    <row r="338" spans="1:5" x14ac:dyDescent="0.3">
      <c r="A338" t="s">
        <v>21</v>
      </c>
      <c r="B338" t="s">
        <v>599</v>
      </c>
      <c r="C338" t="s">
        <v>600</v>
      </c>
      <c r="D338" t="s">
        <v>601</v>
      </c>
      <c r="E338" s="4">
        <v>50525</v>
      </c>
    </row>
    <row r="339" spans="1:5" x14ac:dyDescent="0.3">
      <c r="A339" t="s">
        <v>21</v>
      </c>
      <c r="B339" t="s">
        <v>599</v>
      </c>
      <c r="C339" t="s">
        <v>602</v>
      </c>
      <c r="D339" t="s">
        <v>601</v>
      </c>
      <c r="E339" s="4">
        <v>50525</v>
      </c>
    </row>
    <row r="340" spans="1:5" x14ac:dyDescent="0.3">
      <c r="A340" t="s">
        <v>21</v>
      </c>
      <c r="B340" t="s">
        <v>599</v>
      </c>
      <c r="C340" t="s">
        <v>603</v>
      </c>
      <c r="D340" t="s">
        <v>601</v>
      </c>
      <c r="E340" s="4">
        <v>50525</v>
      </c>
    </row>
    <row r="341" spans="1:5" x14ac:dyDescent="0.3">
      <c r="A341" t="s">
        <v>21</v>
      </c>
      <c r="B341" t="s">
        <v>604</v>
      </c>
      <c r="C341" t="s">
        <v>605</v>
      </c>
      <c r="D341" t="s">
        <v>606</v>
      </c>
      <c r="E341" s="4">
        <v>50525</v>
      </c>
    </row>
    <row r="342" spans="1:5" x14ac:dyDescent="0.3">
      <c r="A342" t="s">
        <v>21</v>
      </c>
      <c r="B342" t="s">
        <v>604</v>
      </c>
      <c r="C342" t="s">
        <v>607</v>
      </c>
      <c r="D342" t="s">
        <v>606</v>
      </c>
      <c r="E342" s="4">
        <v>50525</v>
      </c>
    </row>
    <row r="343" spans="1:5" x14ac:dyDescent="0.3">
      <c r="A343" t="s">
        <v>21</v>
      </c>
      <c r="B343" t="s">
        <v>604</v>
      </c>
      <c r="C343" t="s">
        <v>608</v>
      </c>
      <c r="D343" t="s">
        <v>606</v>
      </c>
      <c r="E343" s="4">
        <v>50525</v>
      </c>
    </row>
    <row r="344" spans="1:5" x14ac:dyDescent="0.3">
      <c r="A344" t="s">
        <v>21</v>
      </c>
      <c r="B344" t="s">
        <v>609</v>
      </c>
      <c r="C344" t="s">
        <v>610</v>
      </c>
      <c r="D344" t="s">
        <v>611</v>
      </c>
      <c r="E344" s="4">
        <v>19782.352941176468</v>
      </c>
    </row>
    <row r="345" spans="1:5" x14ac:dyDescent="0.3">
      <c r="A345" t="s">
        <v>21</v>
      </c>
      <c r="B345" t="s">
        <v>612</v>
      </c>
      <c r="C345" t="s">
        <v>613</v>
      </c>
      <c r="D345" t="s">
        <v>614</v>
      </c>
      <c r="E345" s="4">
        <v>19782.352941176468</v>
      </c>
    </row>
    <row r="346" spans="1:5" x14ac:dyDescent="0.3">
      <c r="A346" t="s">
        <v>21</v>
      </c>
      <c r="B346" t="s">
        <v>615</v>
      </c>
      <c r="C346" t="s">
        <v>53</v>
      </c>
      <c r="D346" t="s">
        <v>53</v>
      </c>
    </row>
    <row r="347" spans="1:5" x14ac:dyDescent="0.3">
      <c r="A347" t="s">
        <v>21</v>
      </c>
      <c r="B347" t="s">
        <v>616</v>
      </c>
      <c r="C347" t="s">
        <v>617</v>
      </c>
      <c r="D347" t="s">
        <v>601</v>
      </c>
      <c r="E347" s="4">
        <v>30315</v>
      </c>
    </row>
    <row r="348" spans="1:5" x14ac:dyDescent="0.3">
      <c r="A348" t="s">
        <v>21</v>
      </c>
      <c r="B348" t="s">
        <v>616</v>
      </c>
      <c r="C348" t="s">
        <v>618</v>
      </c>
      <c r="D348" t="s">
        <v>601</v>
      </c>
      <c r="E348" s="4">
        <v>30315</v>
      </c>
    </row>
    <row r="349" spans="1:5" x14ac:dyDescent="0.3">
      <c r="A349" t="s">
        <v>21</v>
      </c>
      <c r="B349" t="s">
        <v>616</v>
      </c>
      <c r="C349" t="s">
        <v>619</v>
      </c>
      <c r="D349" t="s">
        <v>601</v>
      </c>
      <c r="E349" s="4">
        <v>30315</v>
      </c>
    </row>
    <row r="350" spans="1:5" x14ac:dyDescent="0.3">
      <c r="A350" t="s">
        <v>21</v>
      </c>
      <c r="B350" t="s">
        <v>616</v>
      </c>
      <c r="C350" t="s">
        <v>53</v>
      </c>
      <c r="D350" t="s">
        <v>601</v>
      </c>
      <c r="E350" s="4">
        <v>90945</v>
      </c>
    </row>
    <row r="351" spans="1:5" x14ac:dyDescent="0.3">
      <c r="A351" t="s">
        <v>21</v>
      </c>
      <c r="B351" t="s">
        <v>620</v>
      </c>
      <c r="C351" t="s">
        <v>621</v>
      </c>
      <c r="D351" t="s">
        <v>606</v>
      </c>
      <c r="E351" s="4">
        <v>30315</v>
      </c>
    </row>
    <row r="352" spans="1:5" x14ac:dyDescent="0.3">
      <c r="A352" t="s">
        <v>21</v>
      </c>
      <c r="B352" t="s">
        <v>620</v>
      </c>
      <c r="C352" t="s">
        <v>622</v>
      </c>
      <c r="D352" t="s">
        <v>606</v>
      </c>
      <c r="E352" s="4">
        <v>30315</v>
      </c>
    </row>
    <row r="353" spans="1:5" x14ac:dyDescent="0.3">
      <c r="A353" t="s">
        <v>21</v>
      </c>
      <c r="B353" t="s">
        <v>620</v>
      </c>
      <c r="C353" t="s">
        <v>623</v>
      </c>
      <c r="D353" t="s">
        <v>606</v>
      </c>
      <c r="E353" s="4">
        <v>30315</v>
      </c>
    </row>
    <row r="354" spans="1:5" x14ac:dyDescent="0.3">
      <c r="A354" t="s">
        <v>21</v>
      </c>
      <c r="B354" t="s">
        <v>620</v>
      </c>
      <c r="C354" t="s">
        <v>53</v>
      </c>
      <c r="D354" t="s">
        <v>606</v>
      </c>
      <c r="E354" s="4">
        <v>90945</v>
      </c>
    </row>
    <row r="355" spans="1:5" x14ac:dyDescent="0.3">
      <c r="A355" t="s">
        <v>21</v>
      </c>
      <c r="B355" t="s">
        <v>624</v>
      </c>
      <c r="C355" t="s">
        <v>625</v>
      </c>
      <c r="D355" t="s">
        <v>529</v>
      </c>
      <c r="E355" s="4">
        <v>278370</v>
      </c>
    </row>
    <row r="356" spans="1:5" x14ac:dyDescent="0.3">
      <c r="A356" t="s">
        <v>21</v>
      </c>
      <c r="B356" t="s">
        <v>626</v>
      </c>
      <c r="C356" t="s">
        <v>627</v>
      </c>
      <c r="D356" t="s">
        <v>529</v>
      </c>
      <c r="E356" s="4">
        <v>92790</v>
      </c>
    </row>
    <row r="357" spans="1:5" x14ac:dyDescent="0.3">
      <c r="A357" t="s">
        <v>21</v>
      </c>
      <c r="B357" t="s">
        <v>628</v>
      </c>
      <c r="C357" t="s">
        <v>629</v>
      </c>
      <c r="D357" t="s">
        <v>529</v>
      </c>
      <c r="E357" s="4">
        <v>255172.5</v>
      </c>
    </row>
    <row r="358" spans="1:5" x14ac:dyDescent="0.3">
      <c r="A358" t="s">
        <v>21</v>
      </c>
      <c r="B358" t="s">
        <v>630</v>
      </c>
      <c r="C358" t="s">
        <v>631</v>
      </c>
      <c r="D358" t="s">
        <v>632</v>
      </c>
      <c r="E358" s="4">
        <v>9279</v>
      </c>
    </row>
    <row r="359" spans="1:5" x14ac:dyDescent="0.3">
      <c r="A359" t="s">
        <v>21</v>
      </c>
      <c r="B359" t="s">
        <v>633</v>
      </c>
      <c r="C359" t="s">
        <v>634</v>
      </c>
      <c r="D359" t="s">
        <v>632</v>
      </c>
      <c r="E359" s="4">
        <v>27876.299294117645</v>
      </c>
    </row>
    <row r="360" spans="1:5" x14ac:dyDescent="0.3">
      <c r="A360" t="s">
        <v>21</v>
      </c>
      <c r="B360" t="s">
        <v>635</v>
      </c>
      <c r="C360" t="s">
        <v>636</v>
      </c>
      <c r="D360" t="s">
        <v>637</v>
      </c>
      <c r="E360" s="4">
        <v>44539.199999999997</v>
      </c>
    </row>
    <row r="361" spans="1:5" x14ac:dyDescent="0.3">
      <c r="A361" t="s">
        <v>21</v>
      </c>
      <c r="B361" t="s">
        <v>635</v>
      </c>
      <c r="C361" t="s">
        <v>638</v>
      </c>
      <c r="D361" t="s">
        <v>637</v>
      </c>
      <c r="E361" s="4">
        <v>44539.199999999997</v>
      </c>
    </row>
    <row r="362" spans="1:5" x14ac:dyDescent="0.3">
      <c r="A362" t="s">
        <v>21</v>
      </c>
      <c r="B362" t="s">
        <v>635</v>
      </c>
      <c r="C362" t="s">
        <v>639</v>
      </c>
      <c r="D362" t="s">
        <v>637</v>
      </c>
      <c r="E362" s="4">
        <v>44539.199999999997</v>
      </c>
    </row>
    <row r="363" spans="1:5" x14ac:dyDescent="0.3">
      <c r="A363" t="s">
        <v>21</v>
      </c>
      <c r="B363" t="s">
        <v>635</v>
      </c>
      <c r="C363" t="s">
        <v>640</v>
      </c>
      <c r="D363" t="s">
        <v>637</v>
      </c>
      <c r="E363" s="4">
        <v>44539.199999999997</v>
      </c>
    </row>
    <row r="364" spans="1:5" x14ac:dyDescent="0.3">
      <c r="A364" t="s">
        <v>21</v>
      </c>
      <c r="B364" t="s">
        <v>635</v>
      </c>
      <c r="C364" t="s">
        <v>641</v>
      </c>
      <c r="D364" t="s">
        <v>637</v>
      </c>
      <c r="E364" s="4">
        <v>44539.199999999997</v>
      </c>
    </row>
    <row r="365" spans="1:5" x14ac:dyDescent="0.3">
      <c r="A365" t="s">
        <v>21</v>
      </c>
      <c r="B365" t="s">
        <v>642</v>
      </c>
      <c r="C365" t="s">
        <v>643</v>
      </c>
      <c r="D365" t="s">
        <v>637</v>
      </c>
      <c r="E365" s="4">
        <v>35631.360000000001</v>
      </c>
    </row>
    <row r="366" spans="1:5" x14ac:dyDescent="0.3">
      <c r="A366" t="s">
        <v>21</v>
      </c>
      <c r="B366" t="s">
        <v>642</v>
      </c>
      <c r="C366" t="s">
        <v>644</v>
      </c>
      <c r="D366" t="s">
        <v>637</v>
      </c>
      <c r="E366" s="4">
        <v>35631.360000000001</v>
      </c>
    </row>
    <row r="367" spans="1:5" x14ac:dyDescent="0.3">
      <c r="A367" t="s">
        <v>21</v>
      </c>
      <c r="B367" t="s">
        <v>642</v>
      </c>
      <c r="C367" t="s">
        <v>645</v>
      </c>
      <c r="D367" t="s">
        <v>637</v>
      </c>
      <c r="E367" s="4">
        <v>35631.360000000001</v>
      </c>
    </row>
    <row r="368" spans="1:5" x14ac:dyDescent="0.3">
      <c r="A368" t="s">
        <v>21</v>
      </c>
      <c r="B368" t="s">
        <v>642</v>
      </c>
      <c r="C368" t="s">
        <v>646</v>
      </c>
      <c r="D368" t="s">
        <v>637</v>
      </c>
      <c r="E368" s="4">
        <v>35631.360000000001</v>
      </c>
    </row>
    <row r="369" spans="1:5" x14ac:dyDescent="0.3">
      <c r="A369" t="s">
        <v>21</v>
      </c>
      <c r="B369" t="s">
        <v>647</v>
      </c>
      <c r="C369" t="s">
        <v>648</v>
      </c>
      <c r="D369" t="s">
        <v>649</v>
      </c>
      <c r="E369" s="4">
        <v>8351.1</v>
      </c>
    </row>
    <row r="370" spans="1:5" x14ac:dyDescent="0.3">
      <c r="A370" t="s">
        <v>21</v>
      </c>
      <c r="B370" t="s">
        <v>650</v>
      </c>
      <c r="C370" t="s">
        <v>651</v>
      </c>
      <c r="D370" t="s">
        <v>649</v>
      </c>
      <c r="E370" s="4">
        <v>39823.284705882354</v>
      </c>
    </row>
    <row r="371" spans="1:5" x14ac:dyDescent="0.3">
      <c r="A371" t="s">
        <v>21</v>
      </c>
      <c r="B371" t="s">
        <v>652</v>
      </c>
      <c r="C371" t="s">
        <v>653</v>
      </c>
      <c r="D371" t="s">
        <v>654</v>
      </c>
      <c r="E371" s="4">
        <v>510345</v>
      </c>
    </row>
    <row r="372" spans="1:5" x14ac:dyDescent="0.3">
      <c r="A372" t="s">
        <v>21</v>
      </c>
      <c r="B372" t="s">
        <v>652</v>
      </c>
      <c r="C372" t="s">
        <v>655</v>
      </c>
      <c r="D372" t="s">
        <v>654</v>
      </c>
      <c r="E372" s="4">
        <v>510345</v>
      </c>
    </row>
    <row r="373" spans="1:5" x14ac:dyDescent="0.3">
      <c r="A373" t="s">
        <v>21</v>
      </c>
      <c r="B373" t="s">
        <v>656</v>
      </c>
      <c r="C373" t="s">
        <v>657</v>
      </c>
      <c r="D373" t="s">
        <v>658</v>
      </c>
      <c r="E373" s="4">
        <v>208860</v>
      </c>
    </row>
    <row r="374" spans="1:5" x14ac:dyDescent="0.3">
      <c r="A374" t="s">
        <v>21</v>
      </c>
      <c r="B374" t="s">
        <v>659</v>
      </c>
      <c r="C374" t="s">
        <v>660</v>
      </c>
      <c r="D374" t="s">
        <v>658</v>
      </c>
      <c r="E374" s="4">
        <v>0</v>
      </c>
    </row>
    <row r="375" spans="1:5" x14ac:dyDescent="0.3">
      <c r="A375" t="s">
        <v>21</v>
      </c>
      <c r="B375" t="s">
        <v>661</v>
      </c>
      <c r="C375" t="s">
        <v>662</v>
      </c>
      <c r="D375" t="s">
        <v>658</v>
      </c>
      <c r="E375" s="4">
        <v>66343.764705882364</v>
      </c>
    </row>
    <row r="376" spans="1:5" x14ac:dyDescent="0.3">
      <c r="A376" t="s">
        <v>21</v>
      </c>
      <c r="B376" t="s">
        <v>661</v>
      </c>
      <c r="C376" t="s">
        <v>55</v>
      </c>
      <c r="D376" t="s">
        <v>658</v>
      </c>
      <c r="E376" s="4">
        <v>0</v>
      </c>
    </row>
    <row r="377" spans="1:5" x14ac:dyDescent="0.3">
      <c r="A377" t="s">
        <v>21</v>
      </c>
      <c r="B377" t="s">
        <v>663</v>
      </c>
      <c r="C377" t="s">
        <v>664</v>
      </c>
      <c r="D377" t="s">
        <v>658</v>
      </c>
      <c r="E377" s="4">
        <v>110081.50588235301</v>
      </c>
    </row>
    <row r="378" spans="1:5" x14ac:dyDescent="0.3">
      <c r="A378" t="s">
        <v>21</v>
      </c>
      <c r="B378" t="s">
        <v>665</v>
      </c>
      <c r="C378" t="s">
        <v>666</v>
      </c>
      <c r="D378" t="s">
        <v>658</v>
      </c>
      <c r="E378" s="4">
        <v>0</v>
      </c>
    </row>
    <row r="379" spans="1:5" x14ac:dyDescent="0.3">
      <c r="A379" t="s">
        <v>21</v>
      </c>
      <c r="B379" t="s">
        <v>667</v>
      </c>
      <c r="C379" t="s">
        <v>668</v>
      </c>
      <c r="D379" t="s">
        <v>658</v>
      </c>
      <c r="E379" s="4">
        <v>43442.880000000005</v>
      </c>
    </row>
    <row r="380" spans="1:5" x14ac:dyDescent="0.3">
      <c r="A380" t="s">
        <v>21</v>
      </c>
      <c r="B380" t="s">
        <v>669</v>
      </c>
      <c r="C380" t="s">
        <v>55</v>
      </c>
      <c r="D380" t="s">
        <v>658</v>
      </c>
      <c r="E380" s="4">
        <v>0</v>
      </c>
    </row>
    <row r="381" spans="1:5" x14ac:dyDescent="0.3">
      <c r="A381" t="s">
        <v>21</v>
      </c>
      <c r="B381" t="s">
        <v>669</v>
      </c>
      <c r="C381" t="s">
        <v>670</v>
      </c>
      <c r="D381" t="s">
        <v>658</v>
      </c>
      <c r="E381" s="4">
        <v>86001.176470588282</v>
      </c>
    </row>
    <row r="382" spans="1:5" x14ac:dyDescent="0.3">
      <c r="A382" t="s">
        <v>21</v>
      </c>
      <c r="B382" t="s">
        <v>671</v>
      </c>
      <c r="C382" t="s">
        <v>672</v>
      </c>
      <c r="D382" t="s">
        <v>658</v>
      </c>
      <c r="E382" s="4">
        <v>25898.639999999989</v>
      </c>
    </row>
    <row r="383" spans="1:5" x14ac:dyDescent="0.3">
      <c r="A383" t="s">
        <v>21</v>
      </c>
      <c r="B383" t="s">
        <v>673</v>
      </c>
      <c r="C383" t="s">
        <v>674</v>
      </c>
      <c r="D383" t="s">
        <v>658</v>
      </c>
      <c r="E383" s="4">
        <v>47914.941176470558</v>
      </c>
    </row>
    <row r="384" spans="1:5" x14ac:dyDescent="0.3">
      <c r="A384" t="s">
        <v>21</v>
      </c>
      <c r="B384" t="s">
        <v>675</v>
      </c>
      <c r="C384" t="s">
        <v>676</v>
      </c>
      <c r="D384" t="s">
        <v>677</v>
      </c>
      <c r="E384" s="4">
        <v>576985.29411764711</v>
      </c>
    </row>
    <row r="385" spans="1:5" x14ac:dyDescent="0.3">
      <c r="A385" t="s">
        <v>21</v>
      </c>
      <c r="B385" t="s">
        <v>678</v>
      </c>
      <c r="C385" t="s">
        <v>679</v>
      </c>
      <c r="D385" t="s">
        <v>677</v>
      </c>
      <c r="E385" s="4">
        <v>59763.529411764706</v>
      </c>
    </row>
    <row r="386" spans="1:5" x14ac:dyDescent="0.3">
      <c r="A386" t="s">
        <v>21</v>
      </c>
      <c r="B386" t="s">
        <v>680</v>
      </c>
      <c r="C386" t="s">
        <v>681</v>
      </c>
      <c r="D386" t="s">
        <v>677</v>
      </c>
      <c r="E386" s="4">
        <v>420895.58823529375</v>
      </c>
    </row>
    <row r="387" spans="1:5" x14ac:dyDescent="0.3">
      <c r="A387" t="s">
        <v>21</v>
      </c>
      <c r="B387" t="s">
        <v>682</v>
      </c>
      <c r="C387" t="s">
        <v>683</v>
      </c>
      <c r="D387" t="s">
        <v>677</v>
      </c>
      <c r="E387" s="4">
        <v>215002.94117647057</v>
      </c>
    </row>
    <row r="388" spans="1:5" x14ac:dyDescent="0.3">
      <c r="A388" t="s">
        <v>21</v>
      </c>
      <c r="B388" t="s">
        <v>682</v>
      </c>
      <c r="C388" t="s">
        <v>55</v>
      </c>
      <c r="D388" t="s">
        <v>55</v>
      </c>
      <c r="E388" s="4">
        <v>0</v>
      </c>
    </row>
    <row r="389" spans="1:5" x14ac:dyDescent="0.3">
      <c r="A389" t="s">
        <v>21</v>
      </c>
      <c r="B389" t="s">
        <v>684</v>
      </c>
      <c r="C389" t="s">
        <v>685</v>
      </c>
      <c r="D389" t="s">
        <v>677</v>
      </c>
      <c r="E389" s="4">
        <v>0</v>
      </c>
    </row>
    <row r="390" spans="1:5" x14ac:dyDescent="0.3">
      <c r="A390" t="s">
        <v>21</v>
      </c>
      <c r="B390" t="s">
        <v>686</v>
      </c>
      <c r="C390" t="s">
        <v>687</v>
      </c>
      <c r="D390" t="s">
        <v>677</v>
      </c>
      <c r="E390" s="4">
        <v>102764.1176470589</v>
      </c>
    </row>
    <row r="391" spans="1:5" x14ac:dyDescent="0.3">
      <c r="A391" t="s">
        <v>21</v>
      </c>
      <c r="B391" t="s">
        <v>686</v>
      </c>
      <c r="C391" t="s">
        <v>55</v>
      </c>
      <c r="D391" t="s">
        <v>55</v>
      </c>
      <c r="E391" s="4">
        <v>0</v>
      </c>
    </row>
    <row r="392" spans="1:5" x14ac:dyDescent="0.3">
      <c r="A392" t="s">
        <v>21</v>
      </c>
      <c r="B392" t="s">
        <v>688</v>
      </c>
      <c r="C392" t="s">
        <v>689</v>
      </c>
      <c r="D392" t="s">
        <v>677</v>
      </c>
      <c r="E392" s="4">
        <v>225024.26470588267</v>
      </c>
    </row>
    <row r="393" spans="1:5" x14ac:dyDescent="0.3">
      <c r="A393" t="s">
        <v>21</v>
      </c>
      <c r="B393" t="s">
        <v>690</v>
      </c>
      <c r="C393" t="s">
        <v>691</v>
      </c>
      <c r="D393" t="s">
        <v>677</v>
      </c>
      <c r="E393" s="4">
        <v>0</v>
      </c>
    </row>
    <row r="394" spans="1:5" x14ac:dyDescent="0.3">
      <c r="A394" t="s">
        <v>21</v>
      </c>
      <c r="B394" t="s">
        <v>692</v>
      </c>
      <c r="C394" t="s">
        <v>693</v>
      </c>
      <c r="D394" t="s">
        <v>677</v>
      </c>
      <c r="E394" s="4">
        <v>25053.308823529413</v>
      </c>
    </row>
    <row r="395" spans="1:5" x14ac:dyDescent="0.3">
      <c r="A395" t="s">
        <v>21</v>
      </c>
      <c r="B395" t="s">
        <v>694</v>
      </c>
      <c r="C395" t="s">
        <v>695</v>
      </c>
      <c r="D395" t="s">
        <v>677</v>
      </c>
      <c r="E395" s="4">
        <v>284241.17647058825</v>
      </c>
    </row>
    <row r="396" spans="1:5" x14ac:dyDescent="0.3">
      <c r="A396" t="s">
        <v>21</v>
      </c>
      <c r="B396" t="s">
        <v>694</v>
      </c>
      <c r="C396" t="s">
        <v>696</v>
      </c>
      <c r="D396" t="s">
        <v>677</v>
      </c>
      <c r="E396" s="4">
        <v>0</v>
      </c>
    </row>
    <row r="397" spans="1:5" x14ac:dyDescent="0.3">
      <c r="A397" t="s">
        <v>21</v>
      </c>
      <c r="B397" t="s">
        <v>694</v>
      </c>
      <c r="C397" t="s">
        <v>53</v>
      </c>
      <c r="D397" t="s">
        <v>677</v>
      </c>
      <c r="E397" s="4">
        <v>0</v>
      </c>
    </row>
    <row r="398" spans="1:5" x14ac:dyDescent="0.3">
      <c r="A398" t="s">
        <v>21</v>
      </c>
      <c r="B398" t="s">
        <v>697</v>
      </c>
      <c r="C398" t="s">
        <v>695</v>
      </c>
      <c r="D398" t="s">
        <v>677</v>
      </c>
      <c r="E398" s="4">
        <v>63772.058823529413</v>
      </c>
    </row>
    <row r="399" spans="1:5" x14ac:dyDescent="0.3">
      <c r="A399" t="s">
        <v>21</v>
      </c>
      <c r="B399" t="s">
        <v>698</v>
      </c>
      <c r="C399" t="s">
        <v>691</v>
      </c>
      <c r="D399" t="s">
        <v>677</v>
      </c>
      <c r="E399" s="4">
        <v>0</v>
      </c>
    </row>
    <row r="400" spans="1:5" x14ac:dyDescent="0.3">
      <c r="A400" t="s">
        <v>21</v>
      </c>
      <c r="B400" t="s">
        <v>699</v>
      </c>
      <c r="C400" t="s">
        <v>691</v>
      </c>
      <c r="D400" t="s">
        <v>677</v>
      </c>
      <c r="E400" s="4">
        <v>0</v>
      </c>
    </row>
    <row r="401" spans="1:5" x14ac:dyDescent="0.3">
      <c r="A401" t="s">
        <v>21</v>
      </c>
      <c r="B401" t="s">
        <v>700</v>
      </c>
      <c r="C401" t="s">
        <v>701</v>
      </c>
      <c r="D401" t="s">
        <v>677</v>
      </c>
      <c r="E401" s="4">
        <v>0</v>
      </c>
    </row>
    <row r="402" spans="1:5" x14ac:dyDescent="0.3">
      <c r="A402" t="s">
        <v>21</v>
      </c>
      <c r="B402" t="s">
        <v>700</v>
      </c>
      <c r="C402" t="s">
        <v>702</v>
      </c>
      <c r="D402" t="s">
        <v>677</v>
      </c>
      <c r="E402" s="4">
        <v>0</v>
      </c>
    </row>
    <row r="403" spans="1:5" x14ac:dyDescent="0.3">
      <c r="A403" t="s">
        <v>21</v>
      </c>
      <c r="B403" t="s">
        <v>703</v>
      </c>
      <c r="C403" t="s">
        <v>704</v>
      </c>
      <c r="D403" t="s">
        <v>677</v>
      </c>
      <c r="E403" s="4">
        <v>1700588.2352941176</v>
      </c>
    </row>
    <row r="404" spans="1:5" x14ac:dyDescent="0.3">
      <c r="A404" t="s">
        <v>21</v>
      </c>
      <c r="B404" t="s">
        <v>705</v>
      </c>
      <c r="C404" t="s">
        <v>312</v>
      </c>
      <c r="D404" t="s">
        <v>677</v>
      </c>
      <c r="E404" s="4">
        <v>0</v>
      </c>
    </row>
    <row r="405" spans="1:5" x14ac:dyDescent="0.3">
      <c r="A405" t="s">
        <v>21</v>
      </c>
      <c r="B405" t="s">
        <v>706</v>
      </c>
      <c r="C405" t="s">
        <v>707</v>
      </c>
      <c r="D405" t="s">
        <v>677</v>
      </c>
      <c r="E405" s="4">
        <v>0</v>
      </c>
    </row>
    <row r="406" spans="1:5" x14ac:dyDescent="0.3">
      <c r="A406" t="s">
        <v>21</v>
      </c>
      <c r="B406" t="s">
        <v>708</v>
      </c>
      <c r="C406" t="s">
        <v>709</v>
      </c>
      <c r="D406" t="s">
        <v>710</v>
      </c>
      <c r="E406" s="4">
        <v>278370</v>
      </c>
    </row>
    <row r="407" spans="1:5" x14ac:dyDescent="0.3">
      <c r="A407" t="s">
        <v>21</v>
      </c>
      <c r="B407" t="s">
        <v>711</v>
      </c>
      <c r="C407" t="s">
        <v>712</v>
      </c>
      <c r="D407" t="s">
        <v>710</v>
      </c>
      <c r="E407" s="4">
        <v>408276</v>
      </c>
    </row>
    <row r="408" spans="1:5" x14ac:dyDescent="0.3">
      <c r="A408" t="s">
        <v>21</v>
      </c>
      <c r="B408" t="s">
        <v>713</v>
      </c>
      <c r="C408" t="s">
        <v>714</v>
      </c>
      <c r="D408" t="s">
        <v>677</v>
      </c>
      <c r="E408" s="4">
        <v>60735.294117647056</v>
      </c>
    </row>
    <row r="409" spans="1:5" x14ac:dyDescent="0.3">
      <c r="A409" t="s">
        <v>21</v>
      </c>
      <c r="B409" t="s">
        <v>715</v>
      </c>
      <c r="C409" t="s">
        <v>716</v>
      </c>
      <c r="D409" t="s">
        <v>677</v>
      </c>
      <c r="E409" s="4">
        <v>6073.5294117647063</v>
      </c>
    </row>
    <row r="410" spans="1:5" x14ac:dyDescent="0.3">
      <c r="A410" t="s">
        <v>21</v>
      </c>
      <c r="B410" t="s">
        <v>717</v>
      </c>
      <c r="C410" t="s">
        <v>718</v>
      </c>
      <c r="D410" t="s">
        <v>677</v>
      </c>
      <c r="E410" s="4">
        <v>60735.294117647056</v>
      </c>
    </row>
    <row r="411" spans="1:5" x14ac:dyDescent="0.3">
      <c r="A411" t="s">
        <v>21</v>
      </c>
      <c r="B411" t="s">
        <v>719</v>
      </c>
      <c r="C411" t="s">
        <v>720</v>
      </c>
      <c r="D411" t="s">
        <v>677</v>
      </c>
      <c r="E411" s="4">
        <v>0</v>
      </c>
    </row>
    <row r="412" spans="1:5" x14ac:dyDescent="0.3">
      <c r="A412" t="s">
        <v>21</v>
      </c>
      <c r="B412" t="s">
        <v>721</v>
      </c>
      <c r="C412" t="s">
        <v>722</v>
      </c>
      <c r="D412" t="s">
        <v>723</v>
      </c>
      <c r="E412" s="4">
        <v>148464</v>
      </c>
    </row>
    <row r="413" spans="1:5" x14ac:dyDescent="0.3">
      <c r="A413" t="s">
        <v>21</v>
      </c>
      <c r="B413" t="s">
        <v>724</v>
      </c>
      <c r="C413" t="s">
        <v>725</v>
      </c>
      <c r="D413" t="s">
        <v>45</v>
      </c>
      <c r="E413" s="4">
        <v>43197.439999999988</v>
      </c>
    </row>
    <row r="414" spans="1:5" x14ac:dyDescent="0.3">
      <c r="A414" t="s">
        <v>21</v>
      </c>
      <c r="B414" t="s">
        <v>726</v>
      </c>
      <c r="C414" t="s">
        <v>727</v>
      </c>
      <c r="D414" t="s">
        <v>53</v>
      </c>
      <c r="E414" s="4" t="e">
        <v>#N/A</v>
      </c>
    </row>
    <row r="415" spans="1:5" x14ac:dyDescent="0.3">
      <c r="A415" t="s">
        <v>21</v>
      </c>
      <c r="B415" t="s">
        <v>728</v>
      </c>
      <c r="C415" t="s">
        <v>729</v>
      </c>
      <c r="D415" t="s">
        <v>53</v>
      </c>
      <c r="E415" s="4">
        <v>111348</v>
      </c>
    </row>
    <row r="416" spans="1:5" x14ac:dyDescent="0.3">
      <c r="A416" t="s">
        <v>21</v>
      </c>
      <c r="B416" t="s">
        <v>730</v>
      </c>
      <c r="C416" t="s">
        <v>731</v>
      </c>
      <c r="D416" t="s">
        <v>53</v>
      </c>
      <c r="E416" s="4">
        <v>120627</v>
      </c>
    </row>
    <row r="417" spans="1:5" x14ac:dyDescent="0.3">
      <c r="A417" t="s">
        <v>21</v>
      </c>
      <c r="B417" t="s">
        <v>732</v>
      </c>
      <c r="C417" t="s">
        <v>733</v>
      </c>
      <c r="D417" t="s">
        <v>53</v>
      </c>
      <c r="E417" s="4">
        <v>211395.388235294</v>
      </c>
    </row>
    <row r="418" spans="1:5" x14ac:dyDescent="0.3">
      <c r="A418" t="s">
        <v>21</v>
      </c>
      <c r="B418" t="s">
        <v>734</v>
      </c>
      <c r="C418" t="s">
        <v>55</v>
      </c>
      <c r="D418" t="s">
        <v>53</v>
      </c>
      <c r="E418" s="4">
        <v>6606.105882352942</v>
      </c>
    </row>
    <row r="419" spans="1:5" x14ac:dyDescent="0.3">
      <c r="A419" t="s">
        <v>21</v>
      </c>
      <c r="B419" t="s">
        <v>734</v>
      </c>
      <c r="C419" t="s">
        <v>735</v>
      </c>
      <c r="D419" t="s">
        <v>53</v>
      </c>
      <c r="E419" s="4">
        <v>83991.917647058843</v>
      </c>
    </row>
    <row r="420" spans="1:5" x14ac:dyDescent="0.3">
      <c r="A420" t="s">
        <v>21</v>
      </c>
      <c r="B420" t="s">
        <v>736</v>
      </c>
      <c r="C420" t="s">
        <v>55</v>
      </c>
      <c r="D420" t="s">
        <v>53</v>
      </c>
      <c r="E420" s="4">
        <v>11796.617647058823</v>
      </c>
    </row>
    <row r="421" spans="1:5" x14ac:dyDescent="0.3">
      <c r="A421" t="s">
        <v>21</v>
      </c>
      <c r="B421" t="s">
        <v>736</v>
      </c>
      <c r="C421" t="s">
        <v>737</v>
      </c>
      <c r="D421" t="s">
        <v>53</v>
      </c>
      <c r="E421" s="4">
        <v>165152.64705882376</v>
      </c>
    </row>
    <row r="422" spans="1:5" x14ac:dyDescent="0.3">
      <c r="A422" t="s">
        <v>21</v>
      </c>
      <c r="B422" t="s">
        <v>736</v>
      </c>
      <c r="C422" t="s">
        <v>738</v>
      </c>
      <c r="D422" t="s">
        <v>53</v>
      </c>
      <c r="E422" s="4">
        <v>11796.617647058823</v>
      </c>
    </row>
    <row r="423" spans="1:5" x14ac:dyDescent="0.3">
      <c r="A423" t="s">
        <v>21</v>
      </c>
      <c r="B423" t="s">
        <v>739</v>
      </c>
      <c r="C423" t="s">
        <v>740</v>
      </c>
      <c r="D423" t="s">
        <v>53</v>
      </c>
      <c r="E423" s="4">
        <v>82025.81470588244</v>
      </c>
    </row>
    <row r="424" spans="1:5" x14ac:dyDescent="0.3">
      <c r="A424" t="s">
        <v>21</v>
      </c>
      <c r="B424" t="s">
        <v>739</v>
      </c>
      <c r="C424" t="s">
        <v>741</v>
      </c>
      <c r="D424" t="s">
        <v>53</v>
      </c>
      <c r="E424" s="4">
        <v>11717.973529411764</v>
      </c>
    </row>
    <row r="425" spans="1:5" x14ac:dyDescent="0.3">
      <c r="A425" t="s">
        <v>21</v>
      </c>
      <c r="B425" t="s">
        <v>742</v>
      </c>
      <c r="C425" t="s">
        <v>743</v>
      </c>
      <c r="D425" t="s">
        <v>53</v>
      </c>
      <c r="E425" s="4">
        <v>297274.76470588258</v>
      </c>
    </row>
    <row r="426" spans="1:5" x14ac:dyDescent="0.3">
      <c r="A426" t="s">
        <v>21</v>
      </c>
      <c r="B426" t="s">
        <v>742</v>
      </c>
      <c r="C426" t="s">
        <v>744</v>
      </c>
      <c r="D426" t="s">
        <v>53</v>
      </c>
      <c r="E426" s="4">
        <v>63701.735294117665</v>
      </c>
    </row>
    <row r="427" spans="1:5" x14ac:dyDescent="0.3">
      <c r="A427" t="s">
        <v>21</v>
      </c>
      <c r="B427" t="s">
        <v>745</v>
      </c>
      <c r="C427" t="s">
        <v>746</v>
      </c>
      <c r="D427" t="s">
        <v>53</v>
      </c>
      <c r="E427" s="4">
        <v>176241.46764705857</v>
      </c>
    </row>
    <row r="428" spans="1:5" x14ac:dyDescent="0.3">
      <c r="A428" t="s">
        <v>21</v>
      </c>
      <c r="B428" t="s">
        <v>745</v>
      </c>
      <c r="C428" t="s">
        <v>747</v>
      </c>
      <c r="D428" t="s">
        <v>53</v>
      </c>
      <c r="E428" s="4">
        <v>38221.041176470579</v>
      </c>
    </row>
    <row r="429" spans="1:5" x14ac:dyDescent="0.3">
      <c r="A429" t="s">
        <v>21</v>
      </c>
      <c r="B429" t="s">
        <v>745</v>
      </c>
      <c r="C429" t="s">
        <v>55</v>
      </c>
      <c r="D429" t="s">
        <v>53</v>
      </c>
      <c r="E429" s="4">
        <v>2123.3911764705881</v>
      </c>
    </row>
    <row r="430" spans="1:5" x14ac:dyDescent="0.3">
      <c r="A430" t="s">
        <v>21</v>
      </c>
      <c r="B430" t="s">
        <v>748</v>
      </c>
      <c r="C430" t="s">
        <v>749</v>
      </c>
      <c r="D430" t="s">
        <v>53</v>
      </c>
      <c r="E430" s="4">
        <v>155715.3529411765</v>
      </c>
    </row>
    <row r="431" spans="1:5" x14ac:dyDescent="0.3">
      <c r="A431" t="s">
        <v>21</v>
      </c>
      <c r="B431" t="s">
        <v>750</v>
      </c>
      <c r="C431" t="s">
        <v>751</v>
      </c>
      <c r="D431" t="s">
        <v>53</v>
      </c>
      <c r="E431" s="4">
        <v>64016.311764705832</v>
      </c>
    </row>
    <row r="432" spans="1:5" x14ac:dyDescent="0.3">
      <c r="A432" t="s">
        <v>21</v>
      </c>
      <c r="B432" t="s">
        <v>750</v>
      </c>
      <c r="C432" t="s">
        <v>752</v>
      </c>
      <c r="D432" t="s">
        <v>53</v>
      </c>
      <c r="E432" s="4">
        <v>22806.794117647063</v>
      </c>
    </row>
    <row r="433" spans="1:5" x14ac:dyDescent="0.3">
      <c r="A433" t="s">
        <v>21</v>
      </c>
      <c r="B433" t="s">
        <v>750</v>
      </c>
      <c r="C433" t="s">
        <v>55</v>
      </c>
      <c r="D433" t="s">
        <v>53</v>
      </c>
      <c r="E433" s="4">
        <v>8493.5647058823524</v>
      </c>
    </row>
    <row r="434" spans="1:5" x14ac:dyDescent="0.3">
      <c r="A434" t="s">
        <v>21</v>
      </c>
      <c r="B434" t="s">
        <v>753</v>
      </c>
      <c r="C434" t="s">
        <v>55</v>
      </c>
      <c r="D434" t="s">
        <v>53</v>
      </c>
      <c r="E434" s="4">
        <v>3008.1374999999998</v>
      </c>
    </row>
    <row r="435" spans="1:5" x14ac:dyDescent="0.3">
      <c r="A435" t="s">
        <v>21</v>
      </c>
      <c r="B435" t="s">
        <v>753</v>
      </c>
      <c r="C435" t="s">
        <v>754</v>
      </c>
      <c r="D435" t="s">
        <v>53</v>
      </c>
      <c r="E435" s="4">
        <v>63170.887500000063</v>
      </c>
    </row>
    <row r="436" spans="1:5" x14ac:dyDescent="0.3">
      <c r="A436" t="s">
        <v>21</v>
      </c>
      <c r="B436" t="s">
        <v>755</v>
      </c>
      <c r="C436" t="s">
        <v>756</v>
      </c>
      <c r="D436" t="s">
        <v>53</v>
      </c>
      <c r="E436" s="4">
        <v>507100</v>
      </c>
    </row>
    <row r="437" spans="1:5" x14ac:dyDescent="0.3">
      <c r="A437" t="s">
        <v>21</v>
      </c>
      <c r="B437" t="s">
        <v>757</v>
      </c>
      <c r="C437" t="s">
        <v>758</v>
      </c>
      <c r="D437" t="s">
        <v>53</v>
      </c>
      <c r="E437" s="4">
        <v>46100</v>
      </c>
    </row>
    <row r="438" spans="1:5" x14ac:dyDescent="0.3">
      <c r="A438" t="s">
        <v>21</v>
      </c>
      <c r="B438" t="s">
        <v>759</v>
      </c>
      <c r="C438" t="s">
        <v>760</v>
      </c>
      <c r="D438" t="s">
        <v>53</v>
      </c>
      <c r="E438" s="4">
        <v>39823.284705882354</v>
      </c>
    </row>
    <row r="439" spans="1:5" x14ac:dyDescent="0.3">
      <c r="A439" t="s">
        <v>21</v>
      </c>
      <c r="B439" t="s">
        <v>761</v>
      </c>
      <c r="C439" t="s">
        <v>762</v>
      </c>
      <c r="D439" t="s">
        <v>53</v>
      </c>
      <c r="E439" s="4">
        <v>38971.800000000003</v>
      </c>
    </row>
    <row r="440" spans="1:5" x14ac:dyDescent="0.3">
      <c r="A440" t="s">
        <v>21</v>
      </c>
      <c r="B440" t="s">
        <v>763</v>
      </c>
      <c r="C440" t="s">
        <v>764</v>
      </c>
      <c r="D440" t="s">
        <v>53</v>
      </c>
      <c r="E440" s="4">
        <v>35857.919999999998</v>
      </c>
    </row>
    <row r="441" spans="1:5" x14ac:dyDescent="0.3">
      <c r="A441" t="s">
        <v>21</v>
      </c>
      <c r="B441" t="s">
        <v>763</v>
      </c>
      <c r="C441" t="s">
        <v>765</v>
      </c>
      <c r="D441" t="s">
        <v>53</v>
      </c>
      <c r="E441" s="4">
        <v>35857.919999999998</v>
      </c>
    </row>
    <row r="442" spans="1:5" x14ac:dyDescent="0.3">
      <c r="A442" t="s">
        <v>21</v>
      </c>
      <c r="B442" t="s">
        <v>766</v>
      </c>
      <c r="C442" t="s">
        <v>767</v>
      </c>
      <c r="D442" t="s">
        <v>53</v>
      </c>
      <c r="E442" s="4">
        <v>87348.311152941169</v>
      </c>
    </row>
    <row r="443" spans="1:5" x14ac:dyDescent="0.3">
      <c r="A443" t="s">
        <v>21</v>
      </c>
      <c r="B443" t="s">
        <v>766</v>
      </c>
      <c r="C443" t="s">
        <v>768</v>
      </c>
      <c r="D443" t="s">
        <v>53</v>
      </c>
      <c r="E443" s="4">
        <v>87348.311152941169</v>
      </c>
    </row>
    <row r="444" spans="1:5" x14ac:dyDescent="0.3">
      <c r="A444" t="s">
        <v>21</v>
      </c>
      <c r="B444" t="s">
        <v>766</v>
      </c>
      <c r="C444" t="s">
        <v>769</v>
      </c>
      <c r="D444" t="s">
        <v>53</v>
      </c>
      <c r="E444" s="4">
        <v>87348.311152941169</v>
      </c>
    </row>
    <row r="445" spans="1:5" x14ac:dyDescent="0.3">
      <c r="A445" t="s">
        <v>21</v>
      </c>
      <c r="B445" t="s">
        <v>766</v>
      </c>
      <c r="C445" t="s">
        <v>53</v>
      </c>
      <c r="D445" t="s">
        <v>53</v>
      </c>
      <c r="E445" s="4">
        <v>0</v>
      </c>
    </row>
    <row r="446" spans="1:5" x14ac:dyDescent="0.3">
      <c r="A446" t="s">
        <v>21</v>
      </c>
      <c r="B446" t="s">
        <v>770</v>
      </c>
      <c r="C446" t="s">
        <v>771</v>
      </c>
      <c r="D446" t="s">
        <v>53</v>
      </c>
      <c r="E446" s="4">
        <v>67233.600000000006</v>
      </c>
    </row>
    <row r="447" spans="1:5" x14ac:dyDescent="0.3">
      <c r="A447" t="s">
        <v>21</v>
      </c>
      <c r="B447" t="s">
        <v>770</v>
      </c>
      <c r="C447" t="s">
        <v>772</v>
      </c>
      <c r="D447" t="s">
        <v>53</v>
      </c>
      <c r="E447" s="4">
        <v>67233.600000000006</v>
      </c>
    </row>
    <row r="448" spans="1:5" x14ac:dyDescent="0.3">
      <c r="A448" t="s">
        <v>21</v>
      </c>
      <c r="B448" t="s">
        <v>773</v>
      </c>
      <c r="C448" t="s">
        <v>774</v>
      </c>
      <c r="D448" t="s">
        <v>53</v>
      </c>
      <c r="E448" s="4">
        <v>93380</v>
      </c>
    </row>
    <row r="449" spans="1:5" x14ac:dyDescent="0.3">
      <c r="A449" t="s">
        <v>21</v>
      </c>
      <c r="B449" t="s">
        <v>773</v>
      </c>
      <c r="C449" t="s">
        <v>775</v>
      </c>
      <c r="D449" t="s">
        <v>53</v>
      </c>
      <c r="E449" s="4">
        <v>93380</v>
      </c>
    </row>
    <row r="450" spans="1:5" x14ac:dyDescent="0.3">
      <c r="A450" t="s">
        <v>21</v>
      </c>
      <c r="B450" t="s">
        <v>776</v>
      </c>
      <c r="C450" t="s">
        <v>777</v>
      </c>
      <c r="D450" t="s">
        <v>53</v>
      </c>
      <c r="E450" s="4">
        <v>123171.95520000001</v>
      </c>
    </row>
    <row r="451" spans="1:5" x14ac:dyDescent="0.3">
      <c r="A451" t="s">
        <v>21</v>
      </c>
      <c r="B451" t="s">
        <v>776</v>
      </c>
      <c r="C451" t="s">
        <v>778</v>
      </c>
      <c r="D451" t="s">
        <v>53</v>
      </c>
      <c r="E451" s="4">
        <v>123171.95520000001</v>
      </c>
    </row>
    <row r="452" spans="1:5" x14ac:dyDescent="0.3">
      <c r="A452" t="s">
        <v>21</v>
      </c>
      <c r="B452" t="s">
        <v>776</v>
      </c>
      <c r="C452" t="s">
        <v>779</v>
      </c>
      <c r="D452" t="s">
        <v>53</v>
      </c>
      <c r="E452" s="4">
        <v>123171.95520000001</v>
      </c>
    </row>
    <row r="453" spans="1:5" x14ac:dyDescent="0.3">
      <c r="A453" t="s">
        <v>21</v>
      </c>
      <c r="B453" t="s">
        <v>780</v>
      </c>
      <c r="C453" t="s">
        <v>781</v>
      </c>
      <c r="D453" t="s">
        <v>53</v>
      </c>
      <c r="E453" s="4">
        <v>117658.8</v>
      </c>
    </row>
    <row r="454" spans="1:5" x14ac:dyDescent="0.3">
      <c r="A454" t="s">
        <v>21</v>
      </c>
      <c r="B454" t="s">
        <v>780</v>
      </c>
      <c r="C454" t="s">
        <v>782</v>
      </c>
      <c r="D454" t="s">
        <v>53</v>
      </c>
      <c r="E454" s="4">
        <v>117658.8</v>
      </c>
    </row>
    <row r="455" spans="1:5" x14ac:dyDescent="0.3">
      <c r="A455" t="s">
        <v>21</v>
      </c>
      <c r="B455" t="s">
        <v>780</v>
      </c>
      <c r="C455" t="s">
        <v>783</v>
      </c>
      <c r="D455" t="s">
        <v>53</v>
      </c>
      <c r="E455" s="4">
        <v>117658.8</v>
      </c>
    </row>
    <row r="456" spans="1:5" x14ac:dyDescent="0.3">
      <c r="A456" t="s">
        <v>21</v>
      </c>
      <c r="B456" t="s">
        <v>780</v>
      </c>
      <c r="C456" t="s">
        <v>784</v>
      </c>
      <c r="D456" t="s">
        <v>53</v>
      </c>
      <c r="E456" s="4">
        <v>100850.4</v>
      </c>
    </row>
    <row r="457" spans="1:5" x14ac:dyDescent="0.3">
      <c r="A457" t="s">
        <v>21</v>
      </c>
      <c r="B457" t="s">
        <v>780</v>
      </c>
      <c r="C457" t="s">
        <v>785</v>
      </c>
      <c r="D457" t="s">
        <v>53</v>
      </c>
      <c r="E457" s="4">
        <v>100850.4</v>
      </c>
    </row>
    <row r="458" spans="1:5" x14ac:dyDescent="0.3">
      <c r="A458" t="s">
        <v>21</v>
      </c>
      <c r="B458" t="s">
        <v>780</v>
      </c>
      <c r="C458" t="s">
        <v>53</v>
      </c>
      <c r="D458" t="s">
        <v>53</v>
      </c>
      <c r="E458" s="4">
        <v>100850.4</v>
      </c>
    </row>
    <row r="459" spans="1:5" x14ac:dyDescent="0.3">
      <c r="A459" t="s">
        <v>21</v>
      </c>
      <c r="B459" t="s">
        <v>786</v>
      </c>
      <c r="C459" t="s">
        <v>787</v>
      </c>
      <c r="D459" t="s">
        <v>53</v>
      </c>
      <c r="E459" s="4">
        <v>387240</v>
      </c>
    </row>
    <row r="460" spans="1:5" x14ac:dyDescent="0.3">
      <c r="A460" t="s">
        <v>21</v>
      </c>
      <c r="B460" t="s">
        <v>788</v>
      </c>
      <c r="C460" t="s">
        <v>789</v>
      </c>
      <c r="D460" t="s">
        <v>53</v>
      </c>
      <c r="E460" s="4">
        <v>32270</v>
      </c>
    </row>
    <row r="461" spans="1:5" x14ac:dyDescent="0.3">
      <c r="A461" t="s">
        <v>21</v>
      </c>
      <c r="B461" t="s">
        <v>790</v>
      </c>
      <c r="C461" t="s">
        <v>791</v>
      </c>
      <c r="D461" t="s">
        <v>53</v>
      </c>
      <c r="E461" s="4">
        <v>120081.17647058824</v>
      </c>
    </row>
    <row r="462" spans="1:5" x14ac:dyDescent="0.3">
      <c r="A462" t="s">
        <v>21</v>
      </c>
      <c r="B462" t="s">
        <v>792</v>
      </c>
      <c r="C462" t="s">
        <v>53</v>
      </c>
      <c r="D462" t="s">
        <v>53</v>
      </c>
      <c r="E462" s="4">
        <v>55674</v>
      </c>
    </row>
    <row r="463" spans="1:5" x14ac:dyDescent="0.3">
      <c r="A463" t="s">
        <v>21</v>
      </c>
      <c r="B463" t="s">
        <v>793</v>
      </c>
      <c r="C463" t="s">
        <v>794</v>
      </c>
      <c r="D463" t="s">
        <v>53</v>
      </c>
      <c r="E463" s="4">
        <v>35857.919999999998</v>
      </c>
    </row>
    <row r="464" spans="1:5" x14ac:dyDescent="0.3">
      <c r="A464" t="s">
        <v>21</v>
      </c>
      <c r="B464" t="s">
        <v>793</v>
      </c>
      <c r="C464" t="s">
        <v>795</v>
      </c>
      <c r="D464" t="s">
        <v>53</v>
      </c>
      <c r="E464" s="4">
        <v>35857.919999999998</v>
      </c>
    </row>
    <row r="465" spans="1:5" x14ac:dyDescent="0.3">
      <c r="A465" t="s">
        <v>21</v>
      </c>
      <c r="B465" t="s">
        <v>793</v>
      </c>
      <c r="C465" t="s">
        <v>796</v>
      </c>
      <c r="D465" t="s">
        <v>53</v>
      </c>
      <c r="E465" s="4">
        <v>35857.919999999998</v>
      </c>
    </row>
    <row r="466" spans="1:5" x14ac:dyDescent="0.3">
      <c r="A466" t="s">
        <v>21</v>
      </c>
      <c r="B466" t="s">
        <v>793</v>
      </c>
      <c r="C466" t="s">
        <v>797</v>
      </c>
      <c r="D466" t="s">
        <v>53</v>
      </c>
      <c r="E466" s="4">
        <v>35857.919999999998</v>
      </c>
    </row>
    <row r="467" spans="1:5" x14ac:dyDescent="0.3">
      <c r="A467" t="s">
        <v>21</v>
      </c>
      <c r="B467" t="s">
        <v>793</v>
      </c>
      <c r="C467" t="s">
        <v>798</v>
      </c>
      <c r="D467" t="s">
        <v>53</v>
      </c>
      <c r="E467" s="4">
        <v>35857.919999999998</v>
      </c>
    </row>
    <row r="468" spans="1:5" x14ac:dyDescent="0.3">
      <c r="A468" t="s">
        <v>21</v>
      </c>
      <c r="B468" t="s">
        <v>799</v>
      </c>
      <c r="C468" t="s">
        <v>800</v>
      </c>
      <c r="D468" t="s">
        <v>53</v>
      </c>
      <c r="E468" s="4">
        <v>45942.96</v>
      </c>
    </row>
    <row r="469" spans="1:5" x14ac:dyDescent="0.3">
      <c r="A469" t="s">
        <v>21</v>
      </c>
      <c r="B469" t="s">
        <v>799</v>
      </c>
      <c r="C469" t="s">
        <v>801</v>
      </c>
      <c r="D469" t="s">
        <v>53</v>
      </c>
      <c r="E469" s="4">
        <v>45942.96</v>
      </c>
    </row>
    <row r="470" spans="1:5" x14ac:dyDescent="0.3">
      <c r="A470" t="s">
        <v>21</v>
      </c>
      <c r="B470" t="s">
        <v>799</v>
      </c>
      <c r="C470" t="s">
        <v>802</v>
      </c>
      <c r="D470" t="s">
        <v>53</v>
      </c>
      <c r="E470" s="4">
        <v>45942.96</v>
      </c>
    </row>
    <row r="471" spans="1:5" x14ac:dyDescent="0.3">
      <c r="A471" t="s">
        <v>21</v>
      </c>
      <c r="B471" t="s">
        <v>799</v>
      </c>
      <c r="C471" t="s">
        <v>803</v>
      </c>
      <c r="D471" t="s">
        <v>53</v>
      </c>
      <c r="E471" s="4">
        <v>45942.96</v>
      </c>
    </row>
    <row r="472" spans="1:5" x14ac:dyDescent="0.3">
      <c r="A472" t="s">
        <v>21</v>
      </c>
      <c r="B472" t="s">
        <v>799</v>
      </c>
      <c r="C472" t="s">
        <v>804</v>
      </c>
      <c r="D472" t="s">
        <v>53</v>
      </c>
      <c r="E472" s="4">
        <v>45942.96</v>
      </c>
    </row>
    <row r="473" spans="1:5" x14ac:dyDescent="0.3">
      <c r="A473" t="s">
        <v>21</v>
      </c>
      <c r="B473" t="s">
        <v>799</v>
      </c>
      <c r="C473" t="s">
        <v>805</v>
      </c>
      <c r="D473" t="s">
        <v>53</v>
      </c>
      <c r="E473" s="4">
        <v>45942.96</v>
      </c>
    </row>
    <row r="474" spans="1:5" x14ac:dyDescent="0.3">
      <c r="A474" t="s">
        <v>21</v>
      </c>
      <c r="B474" t="s">
        <v>799</v>
      </c>
      <c r="C474" t="s">
        <v>806</v>
      </c>
      <c r="D474" t="s">
        <v>53</v>
      </c>
      <c r="E474" s="4">
        <v>45942.96</v>
      </c>
    </row>
    <row r="475" spans="1:5" x14ac:dyDescent="0.3">
      <c r="A475" t="s">
        <v>21</v>
      </c>
      <c r="B475" t="s">
        <v>799</v>
      </c>
      <c r="C475" t="s">
        <v>53</v>
      </c>
      <c r="D475" t="s">
        <v>53</v>
      </c>
      <c r="E475" s="4">
        <v>0</v>
      </c>
    </row>
    <row r="476" spans="1:5" x14ac:dyDescent="0.3">
      <c r="A476" t="s">
        <v>21</v>
      </c>
      <c r="B476" t="s">
        <v>807</v>
      </c>
      <c r="C476" t="s">
        <v>808</v>
      </c>
      <c r="D476" t="s">
        <v>53</v>
      </c>
      <c r="E476" s="4">
        <v>22411.200000000001</v>
      </c>
    </row>
    <row r="477" spans="1:5" x14ac:dyDescent="0.3">
      <c r="A477" t="s">
        <v>21</v>
      </c>
      <c r="B477" t="s">
        <v>807</v>
      </c>
      <c r="C477" t="s">
        <v>809</v>
      </c>
      <c r="D477" t="s">
        <v>53</v>
      </c>
      <c r="E477" s="4">
        <v>22411.200000000001</v>
      </c>
    </row>
    <row r="478" spans="1:5" x14ac:dyDescent="0.3">
      <c r="A478" t="s">
        <v>21</v>
      </c>
      <c r="B478" t="s">
        <v>807</v>
      </c>
      <c r="C478" t="s">
        <v>810</v>
      </c>
      <c r="D478" t="s">
        <v>53</v>
      </c>
      <c r="E478" s="4">
        <v>22411.200000000001</v>
      </c>
    </row>
    <row r="479" spans="1:5" x14ac:dyDescent="0.3">
      <c r="A479" t="s">
        <v>21</v>
      </c>
      <c r="B479" t="s">
        <v>807</v>
      </c>
      <c r="C479" t="s">
        <v>811</v>
      </c>
      <c r="D479" t="s">
        <v>53</v>
      </c>
      <c r="E479" s="4">
        <v>22411.200000000001</v>
      </c>
    </row>
    <row r="480" spans="1:5" x14ac:dyDescent="0.3">
      <c r="A480" t="s">
        <v>21</v>
      </c>
      <c r="B480" t="s">
        <v>807</v>
      </c>
      <c r="C480" t="s">
        <v>53</v>
      </c>
      <c r="D480" t="s">
        <v>53</v>
      </c>
      <c r="E480" s="4">
        <v>22411.200000000001</v>
      </c>
    </row>
    <row r="481" spans="1:5" x14ac:dyDescent="0.3">
      <c r="A481" t="s">
        <v>21</v>
      </c>
      <c r="B481" t="s">
        <v>812</v>
      </c>
      <c r="C481" t="s">
        <v>813</v>
      </c>
      <c r="D481" t="s">
        <v>53</v>
      </c>
      <c r="E481" s="4">
        <v>23345</v>
      </c>
    </row>
    <row r="482" spans="1:5" x14ac:dyDescent="0.3">
      <c r="A482" t="s">
        <v>21</v>
      </c>
      <c r="B482" t="s">
        <v>812</v>
      </c>
      <c r="C482" t="s">
        <v>814</v>
      </c>
      <c r="D482" t="s">
        <v>53</v>
      </c>
      <c r="E482" s="4">
        <v>46690</v>
      </c>
    </row>
    <row r="483" spans="1:5" x14ac:dyDescent="0.3">
      <c r="A483" t="s">
        <v>21</v>
      </c>
      <c r="B483" t="s">
        <v>812</v>
      </c>
      <c r="C483" t="s">
        <v>815</v>
      </c>
      <c r="D483" t="s">
        <v>53</v>
      </c>
      <c r="E483" s="4">
        <v>46690</v>
      </c>
    </row>
    <row r="484" spans="1:5" x14ac:dyDescent="0.3">
      <c r="A484" t="s">
        <v>21</v>
      </c>
      <c r="B484" t="s">
        <v>812</v>
      </c>
      <c r="C484" t="s">
        <v>816</v>
      </c>
      <c r="D484" t="s">
        <v>53</v>
      </c>
      <c r="E484" s="4">
        <v>23345</v>
      </c>
    </row>
    <row r="485" spans="1:5" x14ac:dyDescent="0.3">
      <c r="A485" t="s">
        <v>21</v>
      </c>
      <c r="B485" t="s">
        <v>812</v>
      </c>
      <c r="C485" t="s">
        <v>817</v>
      </c>
      <c r="D485" t="s">
        <v>53</v>
      </c>
      <c r="E485" s="4">
        <v>46690</v>
      </c>
    </row>
    <row r="486" spans="1:5" x14ac:dyDescent="0.3">
      <c r="A486" t="s">
        <v>21</v>
      </c>
      <c r="B486" t="s">
        <v>818</v>
      </c>
      <c r="C486" t="s">
        <v>819</v>
      </c>
      <c r="D486" t="s">
        <v>53</v>
      </c>
      <c r="E486" s="4">
        <v>39823.284705882354</v>
      </c>
    </row>
    <row r="487" spans="1:5" x14ac:dyDescent="0.3">
      <c r="A487" t="s">
        <v>21</v>
      </c>
      <c r="B487" t="s">
        <v>820</v>
      </c>
      <c r="C487" t="s">
        <v>821</v>
      </c>
      <c r="D487" t="s">
        <v>53</v>
      </c>
      <c r="E487" s="4">
        <v>38971.800000000003</v>
      </c>
    </row>
    <row r="488" spans="1:5" x14ac:dyDescent="0.3">
      <c r="A488" t="s">
        <v>21</v>
      </c>
      <c r="B488" t="s">
        <v>822</v>
      </c>
      <c r="C488" t="s">
        <v>823</v>
      </c>
      <c r="D488" t="s">
        <v>53</v>
      </c>
      <c r="E488" s="4">
        <v>120627</v>
      </c>
    </row>
    <row r="489" spans="1:5" x14ac:dyDescent="0.3">
      <c r="A489" t="s">
        <v>21</v>
      </c>
      <c r="B489" t="s">
        <v>824</v>
      </c>
      <c r="C489" t="s">
        <v>825</v>
      </c>
      <c r="D489" t="s">
        <v>53</v>
      </c>
      <c r="E489" s="4">
        <v>64953</v>
      </c>
    </row>
    <row r="490" spans="1:5" x14ac:dyDescent="0.3">
      <c r="A490" t="s">
        <v>21</v>
      </c>
      <c r="B490" t="s">
        <v>824</v>
      </c>
      <c r="C490" t="s">
        <v>826</v>
      </c>
      <c r="D490" t="s">
        <v>53</v>
      </c>
      <c r="E490" s="4">
        <v>278370</v>
      </c>
    </row>
    <row r="491" spans="1:5" x14ac:dyDescent="0.3">
      <c r="A491" t="s">
        <v>21</v>
      </c>
      <c r="B491" t="s">
        <v>827</v>
      </c>
      <c r="C491" t="s">
        <v>828</v>
      </c>
      <c r="D491" t="s">
        <v>53</v>
      </c>
      <c r="E491" s="4">
        <v>55320</v>
      </c>
    </row>
    <row r="492" spans="1:5" x14ac:dyDescent="0.3">
      <c r="A492" t="s">
        <v>21</v>
      </c>
      <c r="B492" t="s">
        <v>829</v>
      </c>
      <c r="C492" t="s">
        <v>830</v>
      </c>
      <c r="D492" t="s">
        <v>53</v>
      </c>
      <c r="E492" s="4">
        <v>417555</v>
      </c>
    </row>
    <row r="493" spans="1:5" x14ac:dyDescent="0.3">
      <c r="A493" t="s">
        <v>21</v>
      </c>
      <c r="B493" t="s">
        <v>831</v>
      </c>
      <c r="C493" t="s">
        <v>832</v>
      </c>
      <c r="D493" t="s">
        <v>53</v>
      </c>
      <c r="E493" s="4">
        <v>334044</v>
      </c>
    </row>
    <row r="494" spans="1:5" x14ac:dyDescent="0.3">
      <c r="A494" t="s">
        <v>21</v>
      </c>
      <c r="B494" t="s">
        <v>833</v>
      </c>
      <c r="C494" t="s">
        <v>834</v>
      </c>
      <c r="D494" t="s">
        <v>53</v>
      </c>
      <c r="E494" s="4">
        <v>278370</v>
      </c>
    </row>
    <row r="495" spans="1:5" x14ac:dyDescent="0.3">
      <c r="A495" t="s">
        <v>21</v>
      </c>
      <c r="B495" t="s">
        <v>835</v>
      </c>
      <c r="C495" t="s">
        <v>836</v>
      </c>
      <c r="D495" t="s">
        <v>53</v>
      </c>
      <c r="E495" s="4">
        <v>21694.564545882353</v>
      </c>
    </row>
    <row r="496" spans="1:5" x14ac:dyDescent="0.3">
      <c r="A496" t="s">
        <v>21</v>
      </c>
      <c r="B496" t="s">
        <v>837</v>
      </c>
      <c r="C496" t="s">
        <v>838</v>
      </c>
      <c r="D496" t="s">
        <v>53</v>
      </c>
      <c r="E496" s="4">
        <v>27659.869835294117</v>
      </c>
    </row>
    <row r="497" spans="1:5" x14ac:dyDescent="0.3">
      <c r="A497" t="s">
        <v>21</v>
      </c>
      <c r="B497" t="s">
        <v>839</v>
      </c>
      <c r="C497">
        <v>40</v>
      </c>
      <c r="D497" t="s">
        <v>53</v>
      </c>
      <c r="E497" s="4">
        <v>29503.78305882353</v>
      </c>
    </row>
    <row r="498" spans="1:5" x14ac:dyDescent="0.3">
      <c r="A498" t="s">
        <v>21</v>
      </c>
      <c r="B498" t="s">
        <v>840</v>
      </c>
      <c r="C498" t="s">
        <v>841</v>
      </c>
      <c r="D498" t="s">
        <v>53</v>
      </c>
      <c r="E498" s="4">
        <v>835110</v>
      </c>
    </row>
    <row r="499" spans="1:5" x14ac:dyDescent="0.3">
      <c r="A499" t="s">
        <v>21</v>
      </c>
      <c r="B499" t="s">
        <v>842</v>
      </c>
      <c r="C499" t="s">
        <v>53</v>
      </c>
      <c r="D499" t="s">
        <v>53</v>
      </c>
      <c r="E499" s="4">
        <v>64953</v>
      </c>
    </row>
    <row r="500" spans="1:5" x14ac:dyDescent="0.3">
      <c r="A500" t="s">
        <v>21</v>
      </c>
      <c r="B500" t="s">
        <v>843</v>
      </c>
      <c r="C500" t="s">
        <v>53</v>
      </c>
      <c r="D500" t="s">
        <v>53</v>
      </c>
      <c r="E500" s="4">
        <v>108470.58823529411</v>
      </c>
    </row>
    <row r="501" spans="1:5" x14ac:dyDescent="0.3">
      <c r="A501" t="s">
        <v>21</v>
      </c>
      <c r="B501" t="s">
        <v>844</v>
      </c>
      <c r="C501" t="s">
        <v>53</v>
      </c>
      <c r="D501" t="s">
        <v>53</v>
      </c>
      <c r="E501" s="4">
        <v>835110</v>
      </c>
    </row>
    <row r="502" spans="1:5" x14ac:dyDescent="0.3">
      <c r="A502" t="s">
        <v>21</v>
      </c>
      <c r="B502" t="s">
        <v>845</v>
      </c>
      <c r="C502" t="s">
        <v>53</v>
      </c>
      <c r="D502" t="s">
        <v>53</v>
      </c>
      <c r="E502" s="4">
        <v>301567.5</v>
      </c>
    </row>
    <row r="503" spans="1:5" x14ac:dyDescent="0.3">
      <c r="A503" t="s">
        <v>21</v>
      </c>
      <c r="B503" t="s">
        <v>846</v>
      </c>
      <c r="C503" t="s">
        <v>53</v>
      </c>
      <c r="D503" t="s">
        <v>53</v>
      </c>
      <c r="E503" s="4">
        <v>248940</v>
      </c>
    </row>
    <row r="504" spans="1:5" x14ac:dyDescent="0.3">
      <c r="A504" t="s">
        <v>21</v>
      </c>
      <c r="B504" t="s">
        <v>847</v>
      </c>
      <c r="C504" t="s">
        <v>53</v>
      </c>
      <c r="D504" t="s">
        <v>53</v>
      </c>
      <c r="E504" s="4">
        <v>18558</v>
      </c>
    </row>
    <row r="505" spans="1:5" x14ac:dyDescent="0.3">
      <c r="A505" t="s">
        <v>21</v>
      </c>
      <c r="B505" t="s">
        <v>848</v>
      </c>
      <c r="C505" t="s">
        <v>53</v>
      </c>
      <c r="D505" t="s">
        <v>53</v>
      </c>
      <c r="E505" s="4">
        <v>283118.82352941151</v>
      </c>
    </row>
    <row r="506" spans="1:5" x14ac:dyDescent="0.3">
      <c r="A506" t="s">
        <v>21</v>
      </c>
      <c r="B506" t="s">
        <v>849</v>
      </c>
      <c r="C506" t="s">
        <v>53</v>
      </c>
      <c r="D506" t="s">
        <v>53</v>
      </c>
      <c r="E506" s="4">
        <v>127403.47058823513</v>
      </c>
    </row>
    <row r="507" spans="1:5" x14ac:dyDescent="0.3">
      <c r="A507" t="s">
        <v>21</v>
      </c>
      <c r="B507" t="s">
        <v>850</v>
      </c>
      <c r="C507" t="s">
        <v>53</v>
      </c>
      <c r="D507" t="s">
        <v>53</v>
      </c>
      <c r="E507" s="4">
        <v>169871.29411764711</v>
      </c>
    </row>
    <row r="508" spans="1:5" x14ac:dyDescent="0.3">
      <c r="A508" t="s">
        <v>21</v>
      </c>
      <c r="B508" t="s">
        <v>851</v>
      </c>
      <c r="C508" t="s">
        <v>53</v>
      </c>
      <c r="D508" t="s">
        <v>53</v>
      </c>
      <c r="E508" s="4">
        <v>70779.705882352922</v>
      </c>
    </row>
    <row r="509" spans="1:5" x14ac:dyDescent="0.3">
      <c r="A509" t="s">
        <v>21</v>
      </c>
      <c r="B509" t="s">
        <v>852</v>
      </c>
      <c r="C509" t="s">
        <v>53</v>
      </c>
      <c r="D509" t="s">
        <v>53</v>
      </c>
      <c r="E509" s="4">
        <v>117966.17647058834</v>
      </c>
    </row>
    <row r="510" spans="1:5" x14ac:dyDescent="0.3">
      <c r="A510" t="s">
        <v>21</v>
      </c>
      <c r="B510" t="s">
        <v>853</v>
      </c>
      <c r="C510" t="s">
        <v>53</v>
      </c>
      <c r="D510" t="s">
        <v>53</v>
      </c>
      <c r="E510" s="4">
        <v>396403.994117647</v>
      </c>
    </row>
    <row r="511" spans="1:5" x14ac:dyDescent="0.3">
      <c r="A511" t="s">
        <v>21</v>
      </c>
      <c r="B511" t="s">
        <v>854</v>
      </c>
      <c r="C511" t="s">
        <v>53</v>
      </c>
      <c r="D511" t="s">
        <v>53</v>
      </c>
      <c r="E511" s="4">
        <v>71715.839999999997</v>
      </c>
    </row>
    <row r="512" spans="1:5" x14ac:dyDescent="0.3">
      <c r="A512" t="s">
        <v>21</v>
      </c>
      <c r="B512" t="s">
        <v>855</v>
      </c>
      <c r="C512" t="s">
        <v>53</v>
      </c>
      <c r="D512" t="s">
        <v>53</v>
      </c>
      <c r="E512" s="4">
        <v>302551.19999999995</v>
      </c>
    </row>
    <row r="513" spans="1:5" x14ac:dyDescent="0.3">
      <c r="A513" t="s">
        <v>21</v>
      </c>
      <c r="B513" t="s">
        <v>856</v>
      </c>
      <c r="C513" t="s">
        <v>53</v>
      </c>
      <c r="D513" t="s">
        <v>53</v>
      </c>
      <c r="E513" s="4">
        <v>186760</v>
      </c>
    </row>
    <row r="514" spans="1:5" x14ac:dyDescent="0.3">
      <c r="A514" t="s">
        <v>21</v>
      </c>
      <c r="B514" t="s">
        <v>857</v>
      </c>
      <c r="C514" t="s">
        <v>53</v>
      </c>
      <c r="D514" t="s">
        <v>53</v>
      </c>
      <c r="E514" s="4">
        <v>92200</v>
      </c>
    </row>
    <row r="515" spans="1:5" x14ac:dyDescent="0.3">
      <c r="A515" t="s">
        <v>21</v>
      </c>
      <c r="B515" t="s">
        <v>858</v>
      </c>
      <c r="C515" t="s">
        <v>53</v>
      </c>
      <c r="D515" t="s">
        <v>53</v>
      </c>
      <c r="E515" s="4">
        <v>780922.21891764714</v>
      </c>
    </row>
    <row r="516" spans="1:5" x14ac:dyDescent="0.3">
      <c r="A516" t="s">
        <v>21</v>
      </c>
      <c r="B516" t="s">
        <v>859</v>
      </c>
      <c r="C516" t="s">
        <v>53</v>
      </c>
      <c r="D516" t="s">
        <v>53</v>
      </c>
      <c r="E516" s="4">
        <v>590144.4</v>
      </c>
    </row>
    <row r="517" spans="1:5" x14ac:dyDescent="0.3">
      <c r="A517" t="s">
        <v>21</v>
      </c>
      <c r="B517" t="s">
        <v>860</v>
      </c>
      <c r="C517" t="s">
        <v>53</v>
      </c>
      <c r="D517" t="s">
        <v>53</v>
      </c>
      <c r="E517" s="4">
        <v>278370</v>
      </c>
    </row>
    <row r="518" spans="1:5" x14ac:dyDescent="0.3">
      <c r="A518" t="s">
        <v>21</v>
      </c>
      <c r="B518" t="s">
        <v>861</v>
      </c>
      <c r="C518" t="s">
        <v>53</v>
      </c>
      <c r="D518" t="s">
        <v>53</v>
      </c>
      <c r="E518" s="4">
        <v>301567.5</v>
      </c>
    </row>
    <row r="519" spans="1:5" x14ac:dyDescent="0.3">
      <c r="A519" t="s">
        <v>21</v>
      </c>
      <c r="B519" t="s">
        <v>862</v>
      </c>
      <c r="C519" t="s">
        <v>53</v>
      </c>
      <c r="D519" t="s">
        <v>53</v>
      </c>
      <c r="E519" s="4">
        <v>1862470.5882352942</v>
      </c>
    </row>
    <row r="520" spans="1:5" x14ac:dyDescent="0.3">
      <c r="A520" t="s">
        <v>21</v>
      </c>
      <c r="B520" t="s">
        <v>863</v>
      </c>
      <c r="C520" t="s">
        <v>53</v>
      </c>
      <c r="D520" t="s">
        <v>53</v>
      </c>
      <c r="E520" s="4">
        <v>0</v>
      </c>
    </row>
    <row r="521" spans="1:5" x14ac:dyDescent="0.3">
      <c r="A521" t="s">
        <v>21</v>
      </c>
      <c r="B521" t="s">
        <v>864</v>
      </c>
      <c r="C521" t="s">
        <v>53</v>
      </c>
      <c r="D521" t="s">
        <v>53</v>
      </c>
      <c r="E521" s="4">
        <v>135908.61764705883</v>
      </c>
    </row>
    <row r="522" spans="1:5" x14ac:dyDescent="0.3">
      <c r="A522" t="s">
        <v>21</v>
      </c>
      <c r="B522" t="s">
        <v>865</v>
      </c>
      <c r="C522" t="s">
        <v>53</v>
      </c>
      <c r="D522" t="s">
        <v>53</v>
      </c>
      <c r="E522" s="4">
        <v>12571.676470588234</v>
      </c>
    </row>
    <row r="523" spans="1:5" x14ac:dyDescent="0.3">
      <c r="A523" t="s">
        <v>21</v>
      </c>
      <c r="B523" t="s">
        <v>866</v>
      </c>
      <c r="C523" t="s">
        <v>53</v>
      </c>
      <c r="D523" t="s">
        <v>53</v>
      </c>
      <c r="E523" s="4">
        <v>284544.1176470588</v>
      </c>
    </row>
    <row r="524" spans="1:5" x14ac:dyDescent="0.3">
      <c r="A524" t="s">
        <v>21</v>
      </c>
      <c r="B524" t="s">
        <v>867</v>
      </c>
      <c r="C524" t="s">
        <v>53</v>
      </c>
      <c r="D524" t="s">
        <v>53</v>
      </c>
      <c r="E524" s="4">
        <v>42681.617647058825</v>
      </c>
    </row>
    <row r="525" spans="1:5" x14ac:dyDescent="0.3">
      <c r="A525" t="s">
        <v>21</v>
      </c>
      <c r="B525" t="s">
        <v>868</v>
      </c>
      <c r="C525" t="s">
        <v>53</v>
      </c>
      <c r="D525" t="s">
        <v>53</v>
      </c>
      <c r="E525" s="4">
        <v>223496.47058823539</v>
      </c>
    </row>
    <row r="526" spans="1:5" x14ac:dyDescent="0.3">
      <c r="A526" t="s">
        <v>21</v>
      </c>
      <c r="B526" t="s">
        <v>869</v>
      </c>
      <c r="C526" t="s">
        <v>53</v>
      </c>
      <c r="D526" t="s">
        <v>53</v>
      </c>
      <c r="E526" s="4">
        <v>93123.529411764641</v>
      </c>
    </row>
    <row r="527" spans="1:5" x14ac:dyDescent="0.3">
      <c r="A527" t="s">
        <v>21</v>
      </c>
      <c r="B527" t="s">
        <v>870</v>
      </c>
      <c r="C527" t="s">
        <v>53</v>
      </c>
      <c r="D527" t="s">
        <v>53</v>
      </c>
      <c r="E527" s="4">
        <v>3688</v>
      </c>
    </row>
    <row r="528" spans="1:5" x14ac:dyDescent="0.3">
      <c r="A528" t="s">
        <v>21</v>
      </c>
      <c r="B528" t="s">
        <v>871</v>
      </c>
      <c r="C528" t="s">
        <v>53</v>
      </c>
      <c r="D528" t="s">
        <v>53</v>
      </c>
      <c r="E528" s="4">
        <v>59930</v>
      </c>
    </row>
    <row r="529" spans="1:5" x14ac:dyDescent="0.3">
      <c r="A529" t="s">
        <v>21</v>
      </c>
      <c r="B529" t="s">
        <v>872</v>
      </c>
      <c r="C529" t="s">
        <v>53</v>
      </c>
      <c r="D529" t="s">
        <v>53</v>
      </c>
      <c r="E529" s="4">
        <v>39823.284705882354</v>
      </c>
    </row>
    <row r="530" spans="1:5" x14ac:dyDescent="0.3">
      <c r="A530" t="s">
        <v>21</v>
      </c>
      <c r="B530" t="s">
        <v>873</v>
      </c>
      <c r="C530" t="s">
        <v>53</v>
      </c>
      <c r="D530" t="s">
        <v>53</v>
      </c>
      <c r="E530" s="4">
        <v>11134.8</v>
      </c>
    </row>
    <row r="531" spans="1:5" x14ac:dyDescent="0.3">
      <c r="A531" t="s">
        <v>21</v>
      </c>
      <c r="B531" t="s">
        <v>874</v>
      </c>
      <c r="C531" t="s">
        <v>53</v>
      </c>
      <c r="D531" t="s">
        <v>53</v>
      </c>
      <c r="E531" s="4">
        <v>58480.800000000003</v>
      </c>
    </row>
    <row r="532" spans="1:5" x14ac:dyDescent="0.3">
      <c r="A532" t="s">
        <v>21</v>
      </c>
      <c r="B532" t="s">
        <v>875</v>
      </c>
      <c r="C532" t="s">
        <v>53</v>
      </c>
      <c r="D532" t="s">
        <v>53</v>
      </c>
      <c r="E532" s="4">
        <v>32270</v>
      </c>
    </row>
    <row r="533" spans="1:5" x14ac:dyDescent="0.3">
      <c r="A533" t="s">
        <v>21</v>
      </c>
      <c r="B533" t="s">
        <v>876</v>
      </c>
      <c r="C533" t="s">
        <v>53</v>
      </c>
      <c r="D533" t="s">
        <v>53</v>
      </c>
      <c r="E533" s="4">
        <v>507100</v>
      </c>
    </row>
    <row r="534" spans="1:5" x14ac:dyDescent="0.3">
      <c r="A534" t="s">
        <v>21</v>
      </c>
      <c r="B534" t="s">
        <v>877</v>
      </c>
      <c r="C534" t="s">
        <v>53</v>
      </c>
      <c r="D534" t="s">
        <v>53</v>
      </c>
      <c r="E534" s="4">
        <v>278370</v>
      </c>
    </row>
    <row r="535" spans="1:5" x14ac:dyDescent="0.3">
      <c r="A535" t="s">
        <v>21</v>
      </c>
      <c r="B535" t="s">
        <v>878</v>
      </c>
      <c r="C535" t="s">
        <v>53</v>
      </c>
      <c r="D535" t="s">
        <v>53</v>
      </c>
      <c r="E535" s="4">
        <v>55320</v>
      </c>
    </row>
    <row r="536" spans="1:5" x14ac:dyDescent="0.3">
      <c r="A536" t="s">
        <v>21</v>
      </c>
      <c r="B536" t="s">
        <v>879</v>
      </c>
      <c r="C536" t="s">
        <v>53</v>
      </c>
      <c r="D536" t="s">
        <v>53</v>
      </c>
      <c r="E536" s="4">
        <v>16708.8</v>
      </c>
    </row>
    <row r="537" spans="1:5" x14ac:dyDescent="0.3">
      <c r="A537" t="s">
        <v>21</v>
      </c>
      <c r="B537" t="s">
        <v>880</v>
      </c>
      <c r="C537" t="s">
        <v>53</v>
      </c>
      <c r="D537" t="s">
        <v>53</v>
      </c>
      <c r="E537" s="4">
        <v>41772</v>
      </c>
    </row>
    <row r="538" spans="1:5" x14ac:dyDescent="0.3">
      <c r="A538" t="s">
        <v>21</v>
      </c>
      <c r="B538" t="s">
        <v>881</v>
      </c>
      <c r="C538" t="s">
        <v>53</v>
      </c>
      <c r="D538" t="s">
        <v>53</v>
      </c>
      <c r="E538" s="4">
        <v>9214.4117647058829</v>
      </c>
    </row>
    <row r="539" spans="1:5" x14ac:dyDescent="0.3">
      <c r="A539" t="s">
        <v>21</v>
      </c>
      <c r="B539" t="s">
        <v>882</v>
      </c>
      <c r="C539" t="s">
        <v>53</v>
      </c>
      <c r="D539" t="s">
        <v>53</v>
      </c>
      <c r="E539" s="4">
        <v>33171.88235294116</v>
      </c>
    </row>
    <row r="540" spans="1:5" x14ac:dyDescent="0.3">
      <c r="A540" t="s">
        <v>21</v>
      </c>
      <c r="B540" t="s">
        <v>883</v>
      </c>
      <c r="C540" t="s">
        <v>53</v>
      </c>
      <c r="D540" t="s">
        <v>53</v>
      </c>
      <c r="E540" s="4">
        <v>15728.823529411766</v>
      </c>
    </row>
    <row r="541" spans="1:5" x14ac:dyDescent="0.3">
      <c r="A541" t="s">
        <v>21</v>
      </c>
      <c r="B541" t="s">
        <v>884</v>
      </c>
      <c r="C541" t="s">
        <v>53</v>
      </c>
      <c r="D541" t="s">
        <v>53</v>
      </c>
      <c r="E541" s="4">
        <v>56623.764705882335</v>
      </c>
    </row>
    <row r="542" spans="1:5" x14ac:dyDescent="0.3">
      <c r="A542" t="s">
        <v>21</v>
      </c>
      <c r="B542" t="s">
        <v>885</v>
      </c>
      <c r="C542" t="s">
        <v>53</v>
      </c>
      <c r="D542" t="s">
        <v>53</v>
      </c>
      <c r="E542" s="4">
        <v>31858.627764705881</v>
      </c>
    </row>
    <row r="543" spans="1:5" x14ac:dyDescent="0.3">
      <c r="A543" t="s">
        <v>21</v>
      </c>
      <c r="B543" t="s">
        <v>886</v>
      </c>
      <c r="C543" t="s">
        <v>53</v>
      </c>
      <c r="D543" t="s">
        <v>53</v>
      </c>
      <c r="E543" s="4">
        <v>14846.4</v>
      </c>
    </row>
    <row r="544" spans="1:5" x14ac:dyDescent="0.3">
      <c r="A544" t="s">
        <v>21</v>
      </c>
      <c r="B544" t="s">
        <v>887</v>
      </c>
      <c r="C544" t="s">
        <v>53</v>
      </c>
      <c r="D544" t="s">
        <v>53</v>
      </c>
      <c r="E544" s="4">
        <v>387240</v>
      </c>
    </row>
    <row r="545" spans="1:5" x14ac:dyDescent="0.3">
      <c r="A545" t="s">
        <v>21</v>
      </c>
      <c r="B545" t="s">
        <v>888</v>
      </c>
      <c r="C545" t="s">
        <v>53</v>
      </c>
      <c r="D545" t="s">
        <v>53</v>
      </c>
      <c r="E545" s="4">
        <v>473895.29411764699</v>
      </c>
    </row>
    <row r="546" spans="1:5" x14ac:dyDescent="0.3">
      <c r="A546" t="s">
        <v>21</v>
      </c>
      <c r="B546" t="s">
        <v>889</v>
      </c>
      <c r="C546" t="s">
        <v>53</v>
      </c>
      <c r="D546" t="s">
        <v>53</v>
      </c>
      <c r="E546" s="4">
        <v>0</v>
      </c>
    </row>
    <row r="547" spans="1:5" x14ac:dyDescent="0.3">
      <c r="A547" t="s">
        <v>21</v>
      </c>
      <c r="B547" t="s">
        <v>890</v>
      </c>
      <c r="C547" t="s">
        <v>53</v>
      </c>
      <c r="D547" t="s">
        <v>53</v>
      </c>
      <c r="E547" s="4">
        <v>693666.82352941181</v>
      </c>
    </row>
    <row r="548" spans="1:5" x14ac:dyDescent="0.3">
      <c r="A548" t="s">
        <v>21</v>
      </c>
      <c r="B548" t="s">
        <v>891</v>
      </c>
      <c r="C548" t="s">
        <v>53</v>
      </c>
      <c r="D548" t="s">
        <v>53</v>
      </c>
      <c r="E548" s="4">
        <v>69304.599999999991</v>
      </c>
    </row>
    <row r="549" spans="1:5" x14ac:dyDescent="0.3">
      <c r="A549" t="s">
        <v>21</v>
      </c>
      <c r="B549" t="s">
        <v>892</v>
      </c>
      <c r="C549" t="s">
        <v>53</v>
      </c>
      <c r="D549" t="s">
        <v>53</v>
      </c>
      <c r="E549" s="4">
        <v>131414.89000000001</v>
      </c>
    </row>
    <row r="550" spans="1:5" x14ac:dyDescent="0.3">
      <c r="A550" t="s">
        <v>21</v>
      </c>
      <c r="B550" t="s">
        <v>893</v>
      </c>
      <c r="C550" t="s">
        <v>53</v>
      </c>
      <c r="D550" t="s">
        <v>53</v>
      </c>
      <c r="E550" s="4">
        <v>0</v>
      </c>
    </row>
    <row r="551" spans="1:5" x14ac:dyDescent="0.3">
      <c r="A551" t="s">
        <v>21</v>
      </c>
      <c r="B551" t="s">
        <v>894</v>
      </c>
      <c r="C551" t="s">
        <v>53</v>
      </c>
      <c r="D551" t="s">
        <v>53</v>
      </c>
      <c r="E551" s="4">
        <v>134097.88235294126</v>
      </c>
    </row>
    <row r="552" spans="1:5" x14ac:dyDescent="0.3">
      <c r="A552" t="s">
        <v>21</v>
      </c>
      <c r="B552" t="s">
        <v>895</v>
      </c>
      <c r="C552" t="s">
        <v>53</v>
      </c>
      <c r="D552" t="s">
        <v>53</v>
      </c>
      <c r="E552" s="4">
        <v>186247.05882352896</v>
      </c>
    </row>
    <row r="553" spans="1:5" x14ac:dyDescent="0.3">
      <c r="A553" t="s">
        <v>21</v>
      </c>
      <c r="B553" t="s">
        <v>896</v>
      </c>
      <c r="C553" t="s">
        <v>53</v>
      </c>
      <c r="D553" t="s">
        <v>53</v>
      </c>
      <c r="E553" s="4">
        <v>62082.352941176468</v>
      </c>
    </row>
    <row r="554" spans="1:5" x14ac:dyDescent="0.3">
      <c r="A554" t="s">
        <v>21</v>
      </c>
      <c r="B554" t="s">
        <v>897</v>
      </c>
      <c r="C554" t="s">
        <v>53</v>
      </c>
      <c r="D554" t="s">
        <v>53</v>
      </c>
      <c r="E554" s="4">
        <v>0</v>
      </c>
    </row>
    <row r="555" spans="1:5" x14ac:dyDescent="0.3">
      <c r="A555" t="s">
        <v>21</v>
      </c>
      <c r="B555" t="s">
        <v>898</v>
      </c>
      <c r="C555" t="s">
        <v>53</v>
      </c>
      <c r="D555" t="s">
        <v>53</v>
      </c>
      <c r="E555" s="4">
        <v>17796.941176470587</v>
      </c>
    </row>
    <row r="556" spans="1:5" x14ac:dyDescent="0.3">
      <c r="A556" t="s">
        <v>21</v>
      </c>
      <c r="B556" t="s">
        <v>899</v>
      </c>
      <c r="C556" t="s">
        <v>53</v>
      </c>
      <c r="D556" t="s">
        <v>53</v>
      </c>
      <c r="E556" s="4">
        <v>0</v>
      </c>
    </row>
    <row r="557" spans="1:5" x14ac:dyDescent="0.3">
      <c r="A557" t="s">
        <v>21</v>
      </c>
      <c r="B557" t="s">
        <v>900</v>
      </c>
      <c r="C557" t="s">
        <v>53</v>
      </c>
      <c r="D557" t="s">
        <v>53</v>
      </c>
      <c r="E557" s="4">
        <v>34851.599999999999</v>
      </c>
    </row>
    <row r="558" spans="1:5" x14ac:dyDescent="0.3">
      <c r="A558" t="s">
        <v>21</v>
      </c>
      <c r="B558" t="s">
        <v>901</v>
      </c>
      <c r="C558" t="s">
        <v>53</v>
      </c>
      <c r="D558" t="s">
        <v>53</v>
      </c>
      <c r="E558" s="4">
        <v>29504</v>
      </c>
    </row>
  </sheetData>
  <sortState xmlns:xlrd2="http://schemas.microsoft.com/office/spreadsheetml/2017/richdata2" ref="A3:E558">
    <sortCondition ref="B3:B558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7528D-8F65-4ED8-936F-E9E422CC020E}">
  <sheetPr codeName="Sheet3"/>
  <dimension ref="A1:AA975"/>
  <sheetViews>
    <sheetView showGridLines="0"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:XFD114"/>
    </sheetView>
  </sheetViews>
  <sheetFormatPr defaultColWidth="8.6640625" defaultRowHeight="13.2" x14ac:dyDescent="0.3"/>
  <cols>
    <col min="1" max="1" width="10.88671875" style="38" customWidth="1"/>
    <col min="2" max="2" width="10.6640625" style="50" customWidth="1"/>
    <col min="3" max="3" width="8.33203125" style="50" customWidth="1"/>
    <col min="4" max="4" width="8.5546875" style="38" customWidth="1"/>
    <col min="5" max="5" width="32.88671875" style="38" bestFit="1" customWidth="1"/>
    <col min="6" max="6" width="13.5546875" style="38" bestFit="1" customWidth="1"/>
    <col min="7" max="7" width="53.5546875" style="38" customWidth="1"/>
    <col min="8" max="8" width="36.5546875" style="38" customWidth="1"/>
    <col min="9" max="9" width="37.6640625" style="38" customWidth="1"/>
    <col min="10" max="10" width="9.109375" style="56" customWidth="1"/>
    <col min="11" max="11" width="12.33203125" style="57" customWidth="1"/>
    <col min="12" max="12" width="13.6640625" style="57" customWidth="1"/>
    <col min="13" max="13" width="5.6640625" style="38" customWidth="1"/>
    <col min="14" max="14" width="19.6640625" style="41" customWidth="1"/>
    <col min="15" max="15" width="14.6640625" style="41" customWidth="1"/>
    <col min="16" max="16" width="11.44140625" style="41" customWidth="1"/>
    <col min="17" max="17" width="13.5546875" style="25" customWidth="1"/>
    <col min="18" max="18" width="17" style="41" customWidth="1"/>
    <col min="19" max="19" width="8.44140625" style="41" customWidth="1"/>
    <col min="20" max="20" width="7.6640625" style="41" customWidth="1"/>
    <col min="21" max="21" width="5.44140625" style="41" customWidth="1"/>
    <col min="22" max="22" width="7" style="41" customWidth="1"/>
    <col min="23" max="23" width="11.33203125" style="41" customWidth="1"/>
    <col min="24" max="24" width="11.44140625" style="24" customWidth="1"/>
    <col min="25" max="25" width="8.44140625" style="24" customWidth="1"/>
    <col min="26" max="26" width="11.6640625" style="24" customWidth="1"/>
    <col min="27" max="27" width="12.5546875" style="24" customWidth="1"/>
    <col min="28" max="28" width="8.6640625" style="43" customWidth="1"/>
    <col min="29" max="16384" width="8.6640625" style="43"/>
  </cols>
  <sheetData>
    <row r="1" spans="1:27" s="34" customFormat="1" ht="40.200000000000003" customHeight="1" x14ac:dyDescent="0.3">
      <c r="A1" s="35" t="s">
        <v>1016</v>
      </c>
      <c r="B1" s="26" t="s">
        <v>1009</v>
      </c>
      <c r="C1" s="26" t="s">
        <v>983</v>
      </c>
      <c r="D1" s="26" t="s">
        <v>1008</v>
      </c>
      <c r="E1" s="26" t="s">
        <v>984</v>
      </c>
      <c r="F1" s="26" t="s">
        <v>1001</v>
      </c>
      <c r="G1" s="27" t="s">
        <v>982</v>
      </c>
      <c r="H1" s="27" t="s">
        <v>985</v>
      </c>
      <c r="I1" s="27" t="s">
        <v>989</v>
      </c>
      <c r="J1" s="27" t="s">
        <v>1005</v>
      </c>
      <c r="K1" s="28" t="s">
        <v>987</v>
      </c>
      <c r="L1" s="28" t="s">
        <v>988</v>
      </c>
      <c r="M1" s="27" t="s">
        <v>1000</v>
      </c>
      <c r="N1" s="29" t="s">
        <v>1006</v>
      </c>
      <c r="O1" s="29" t="s">
        <v>1003</v>
      </c>
      <c r="P1" s="27" t="s">
        <v>997</v>
      </c>
      <c r="Q1" s="30" t="s">
        <v>1007</v>
      </c>
      <c r="R1" s="30" t="s">
        <v>999</v>
      </c>
      <c r="S1" s="27" t="s">
        <v>996</v>
      </c>
      <c r="T1" s="27" t="s">
        <v>993</v>
      </c>
      <c r="U1" s="27" t="s">
        <v>994</v>
      </c>
      <c r="V1" s="27" t="s">
        <v>995</v>
      </c>
      <c r="W1" s="29" t="s">
        <v>998</v>
      </c>
      <c r="X1" s="30" t="s">
        <v>990</v>
      </c>
      <c r="Y1" s="29" t="s">
        <v>986</v>
      </c>
      <c r="Z1" s="29" t="s">
        <v>991</v>
      </c>
      <c r="AA1" s="29" t="s">
        <v>992</v>
      </c>
    </row>
    <row r="2" spans="1:27" x14ac:dyDescent="0.3">
      <c r="A2" s="31" t="s">
        <v>1010</v>
      </c>
      <c r="B2" s="36">
        <v>46118</v>
      </c>
      <c r="C2" s="37">
        <f>B2</f>
        <v>46118</v>
      </c>
      <c r="D2" s="31" t="s">
        <v>1014</v>
      </c>
      <c r="E2" s="23" t="s">
        <v>980</v>
      </c>
      <c r="F2" s="23" t="s">
        <v>1002</v>
      </c>
      <c r="G2" s="38" t="s">
        <v>957</v>
      </c>
      <c r="H2" s="23" t="s">
        <v>981</v>
      </c>
      <c r="I2" s="23" t="s">
        <v>1015</v>
      </c>
      <c r="J2" s="39" t="s">
        <v>1004</v>
      </c>
      <c r="K2" s="40">
        <v>46118</v>
      </c>
      <c r="L2" s="40">
        <v>46126</v>
      </c>
      <c r="M2" s="23">
        <f t="shared" ref="M2:M5" si="0">L2-K2+1</f>
        <v>9</v>
      </c>
      <c r="N2" s="23">
        <v>255</v>
      </c>
      <c r="O2" s="41">
        <v>255</v>
      </c>
      <c r="P2" s="25">
        <v>20</v>
      </c>
      <c r="Q2" s="25">
        <v>204</v>
      </c>
      <c r="R2" s="25">
        <f t="shared" ref="R2:R5" si="1">P2*Q2</f>
        <v>4080</v>
      </c>
      <c r="S2" s="23"/>
      <c r="T2" s="23"/>
      <c r="U2" s="23">
        <f t="shared" ref="U2:U5" si="2">S2*T2</f>
        <v>0</v>
      </c>
      <c r="V2" s="23"/>
      <c r="W2" s="42"/>
      <c r="X2" s="24">
        <f>(N2+O2)/2*R2/10</f>
        <v>104040</v>
      </c>
      <c r="Z2" s="24">
        <f>X2*18%</f>
        <v>18727.2</v>
      </c>
      <c r="AA2" s="24">
        <f>SUM(X2:Z2)</f>
        <v>122767.2</v>
      </c>
    </row>
    <row r="3" spans="1:27" x14ac:dyDescent="0.3">
      <c r="A3" s="31" t="s">
        <v>1011</v>
      </c>
      <c r="B3" s="36">
        <v>46118</v>
      </c>
      <c r="C3" s="37">
        <f t="shared" ref="C3:C5" si="3">B3</f>
        <v>46118</v>
      </c>
      <c r="D3" s="31" t="s">
        <v>1014</v>
      </c>
      <c r="E3" s="23" t="s">
        <v>975</v>
      </c>
      <c r="F3" s="23" t="s">
        <v>1002</v>
      </c>
      <c r="G3" s="38" t="s">
        <v>976</v>
      </c>
      <c r="H3" s="23" t="s">
        <v>981</v>
      </c>
      <c r="I3" s="23" t="s">
        <v>1015</v>
      </c>
      <c r="J3" s="39" t="s">
        <v>1004</v>
      </c>
      <c r="K3" s="40">
        <v>46119</v>
      </c>
      <c r="L3" s="40">
        <v>46126</v>
      </c>
      <c r="M3" s="23">
        <f t="shared" si="0"/>
        <v>8</v>
      </c>
      <c r="N3" s="23">
        <v>210</v>
      </c>
      <c r="O3" s="41">
        <v>210</v>
      </c>
      <c r="P3" s="25">
        <v>20</v>
      </c>
      <c r="Q3" s="25">
        <v>192</v>
      </c>
      <c r="R3" s="25">
        <f t="shared" si="1"/>
        <v>3840</v>
      </c>
      <c r="S3" s="23"/>
      <c r="T3" s="23"/>
      <c r="U3" s="23">
        <f t="shared" si="2"/>
        <v>0</v>
      </c>
      <c r="V3" s="23"/>
      <c r="W3" s="25"/>
      <c r="X3" s="24">
        <f t="shared" ref="X3:X5" si="4">(N3+O3)/2*R3/10</f>
        <v>80640</v>
      </c>
      <c r="Z3" s="24">
        <f t="shared" ref="Z3:Z5" si="5">X3*18%</f>
        <v>14515.199999999999</v>
      </c>
      <c r="AA3" s="24">
        <f t="shared" ref="AA3:AA5" si="6">SUM(X3:Z3)</f>
        <v>95155.199999999997</v>
      </c>
    </row>
    <row r="4" spans="1:27" x14ac:dyDescent="0.3">
      <c r="A4" s="31" t="s">
        <v>1012</v>
      </c>
      <c r="B4" s="36">
        <v>46118</v>
      </c>
      <c r="C4" s="37">
        <f t="shared" si="3"/>
        <v>46118</v>
      </c>
      <c r="D4" s="31" t="s">
        <v>1014</v>
      </c>
      <c r="E4" s="23" t="s">
        <v>978</v>
      </c>
      <c r="F4" s="23" t="s">
        <v>1002</v>
      </c>
      <c r="G4" s="38" t="s">
        <v>977</v>
      </c>
      <c r="H4" s="23" t="s">
        <v>981</v>
      </c>
      <c r="I4" s="23" t="s">
        <v>1015</v>
      </c>
      <c r="J4" s="39" t="s">
        <v>1004</v>
      </c>
      <c r="K4" s="40">
        <v>46118</v>
      </c>
      <c r="L4" s="40">
        <v>46126</v>
      </c>
      <c r="M4" s="23">
        <f t="shared" si="0"/>
        <v>9</v>
      </c>
      <c r="N4" s="23">
        <v>212.5</v>
      </c>
      <c r="O4" s="41">
        <v>212.5</v>
      </c>
      <c r="P4" s="25">
        <v>20</v>
      </c>
      <c r="Q4" s="25">
        <v>204</v>
      </c>
      <c r="R4" s="25">
        <f t="shared" si="1"/>
        <v>4080</v>
      </c>
      <c r="S4" s="23"/>
      <c r="T4" s="23"/>
      <c r="U4" s="23">
        <f t="shared" si="2"/>
        <v>0</v>
      </c>
      <c r="V4" s="23"/>
      <c r="W4" s="25"/>
      <c r="X4" s="24">
        <f t="shared" si="4"/>
        <v>86700</v>
      </c>
      <c r="Z4" s="24">
        <f t="shared" si="5"/>
        <v>15606</v>
      </c>
      <c r="AA4" s="24">
        <f t="shared" si="6"/>
        <v>102306</v>
      </c>
    </row>
    <row r="5" spans="1:27" x14ac:dyDescent="0.3">
      <c r="A5" s="31" t="s">
        <v>1013</v>
      </c>
      <c r="B5" s="36">
        <v>46118</v>
      </c>
      <c r="C5" s="37">
        <f t="shared" si="3"/>
        <v>46118</v>
      </c>
      <c r="D5" s="31" t="s">
        <v>1014</v>
      </c>
      <c r="E5" s="23" t="s">
        <v>979</v>
      </c>
      <c r="F5" s="23" t="s">
        <v>1002</v>
      </c>
      <c r="G5" s="38" t="s">
        <v>961</v>
      </c>
      <c r="H5" s="23" t="s">
        <v>981</v>
      </c>
      <c r="I5" s="23" t="s">
        <v>1015</v>
      </c>
      <c r="J5" s="39" t="s">
        <v>1004</v>
      </c>
      <c r="K5" s="40">
        <v>46118</v>
      </c>
      <c r="L5" s="40">
        <v>46126</v>
      </c>
      <c r="M5" s="23">
        <f t="shared" si="0"/>
        <v>9</v>
      </c>
      <c r="N5" s="23">
        <v>160</v>
      </c>
      <c r="O5" s="41">
        <v>160</v>
      </c>
      <c r="P5" s="25">
        <v>20</v>
      </c>
      <c r="Q5" s="25">
        <v>204</v>
      </c>
      <c r="R5" s="25">
        <f t="shared" si="1"/>
        <v>4080</v>
      </c>
      <c r="S5" s="23"/>
      <c r="T5" s="23"/>
      <c r="U5" s="23">
        <f t="shared" si="2"/>
        <v>0</v>
      </c>
      <c r="V5" s="23"/>
      <c r="W5" s="25"/>
      <c r="X5" s="24">
        <f t="shared" si="4"/>
        <v>65280</v>
      </c>
      <c r="Z5" s="24">
        <f t="shared" si="5"/>
        <v>11750.4</v>
      </c>
      <c r="AA5" s="24">
        <f t="shared" si="6"/>
        <v>77030.399999999994</v>
      </c>
    </row>
    <row r="6" spans="1:27" x14ac:dyDescent="0.3">
      <c r="A6" s="31"/>
      <c r="B6" s="36"/>
      <c r="C6" s="45"/>
      <c r="D6" s="31"/>
      <c r="H6" s="47"/>
      <c r="I6" s="23"/>
      <c r="J6" s="48"/>
      <c r="K6" s="40"/>
      <c r="L6" s="40"/>
      <c r="M6" s="23"/>
      <c r="N6" s="23"/>
      <c r="P6" s="23"/>
      <c r="Q6" s="23"/>
      <c r="R6" s="25"/>
      <c r="S6" s="23"/>
      <c r="T6" s="23"/>
      <c r="U6" s="23"/>
      <c r="V6" s="23"/>
    </row>
    <row r="7" spans="1:27" x14ac:dyDescent="0.3">
      <c r="A7" s="31"/>
      <c r="B7" s="36"/>
      <c r="C7" s="45"/>
      <c r="D7" s="31"/>
      <c r="H7" s="47"/>
      <c r="I7" s="23"/>
      <c r="J7" s="48"/>
      <c r="K7" s="40"/>
      <c r="L7" s="40"/>
      <c r="M7" s="23"/>
      <c r="N7" s="23"/>
      <c r="P7" s="23"/>
      <c r="Q7" s="23"/>
      <c r="R7" s="25"/>
      <c r="S7" s="23"/>
      <c r="T7" s="23"/>
      <c r="U7" s="23"/>
      <c r="V7" s="23"/>
    </row>
    <row r="8" spans="1:27" x14ac:dyDescent="0.3">
      <c r="A8" s="31"/>
      <c r="B8" s="36"/>
      <c r="C8" s="45"/>
      <c r="D8" s="31"/>
      <c r="G8" s="23"/>
      <c r="H8" s="47"/>
      <c r="I8" s="23"/>
      <c r="J8" s="48"/>
      <c r="K8" s="40"/>
      <c r="L8" s="40"/>
      <c r="M8" s="23"/>
      <c r="N8" s="23"/>
      <c r="P8" s="23"/>
      <c r="Q8" s="23"/>
      <c r="R8" s="25"/>
      <c r="S8" s="23"/>
      <c r="T8" s="23"/>
      <c r="U8" s="23"/>
      <c r="V8" s="23"/>
    </row>
    <row r="9" spans="1:27" x14ac:dyDescent="0.3">
      <c r="A9" s="31"/>
      <c r="B9" s="36"/>
      <c r="C9" s="45"/>
      <c r="D9" s="31"/>
      <c r="H9" s="47"/>
      <c r="I9" s="23"/>
      <c r="J9" s="48"/>
      <c r="K9" s="40"/>
      <c r="L9" s="40"/>
      <c r="M9" s="23"/>
      <c r="N9" s="23"/>
      <c r="P9" s="23"/>
      <c r="Q9" s="23"/>
      <c r="R9" s="25"/>
      <c r="S9" s="23"/>
      <c r="T9" s="23"/>
      <c r="U9" s="23"/>
      <c r="V9" s="23"/>
    </row>
    <row r="10" spans="1:27" x14ac:dyDescent="0.3">
      <c r="A10" s="31"/>
      <c r="B10" s="36"/>
      <c r="C10" s="45"/>
      <c r="D10" s="31"/>
      <c r="G10" s="23"/>
      <c r="H10" s="47"/>
      <c r="I10" s="23"/>
      <c r="J10" s="48"/>
      <c r="K10" s="40"/>
      <c r="L10" s="40"/>
      <c r="M10" s="23"/>
      <c r="N10" s="23"/>
      <c r="O10" s="25"/>
      <c r="P10" s="25"/>
      <c r="R10" s="25"/>
      <c r="S10" s="23"/>
      <c r="T10" s="23"/>
      <c r="U10" s="23"/>
      <c r="V10" s="23"/>
    </row>
    <row r="11" spans="1:27" x14ac:dyDescent="0.3">
      <c r="A11" s="31"/>
      <c r="B11" s="36"/>
      <c r="C11" s="37"/>
      <c r="D11" s="31"/>
      <c r="G11" s="23"/>
      <c r="H11" s="23"/>
      <c r="I11" s="23"/>
      <c r="J11" s="48"/>
      <c r="K11" s="40"/>
      <c r="L11" s="40"/>
      <c r="M11" s="23"/>
      <c r="N11" s="23"/>
      <c r="O11" s="25"/>
      <c r="P11" s="25"/>
      <c r="R11" s="25"/>
      <c r="S11" s="23"/>
      <c r="T11" s="23"/>
      <c r="U11" s="23"/>
      <c r="V11" s="23"/>
    </row>
    <row r="12" spans="1:27" x14ac:dyDescent="0.3">
      <c r="A12" s="31"/>
      <c r="B12" s="36"/>
      <c r="C12" s="37"/>
      <c r="D12" s="31"/>
      <c r="G12" s="23"/>
      <c r="H12" s="23"/>
      <c r="I12" s="23"/>
      <c r="J12" s="48"/>
      <c r="K12" s="40"/>
      <c r="L12" s="40"/>
      <c r="M12" s="23"/>
      <c r="N12" s="23"/>
      <c r="O12" s="25"/>
      <c r="P12" s="25"/>
      <c r="R12" s="25"/>
      <c r="S12" s="23"/>
      <c r="T12" s="23"/>
      <c r="U12" s="23"/>
      <c r="V12" s="23"/>
    </row>
    <row r="13" spans="1:27" x14ac:dyDescent="0.3">
      <c r="A13" s="31"/>
      <c r="B13" s="36"/>
      <c r="C13" s="37"/>
      <c r="D13" s="31"/>
      <c r="G13" s="23"/>
      <c r="H13" s="23"/>
      <c r="I13" s="23"/>
      <c r="J13" s="48"/>
      <c r="K13" s="40"/>
      <c r="L13" s="40"/>
      <c r="M13" s="23"/>
      <c r="N13" s="23"/>
      <c r="O13" s="25"/>
      <c r="P13" s="25"/>
      <c r="R13" s="25"/>
      <c r="S13" s="23"/>
      <c r="T13" s="23"/>
      <c r="U13" s="23"/>
      <c r="V13" s="23"/>
    </row>
    <row r="14" spans="1:27" x14ac:dyDescent="0.3">
      <c r="A14" s="31"/>
      <c r="B14" s="36"/>
      <c r="C14" s="37"/>
      <c r="D14" s="31"/>
      <c r="G14" s="23"/>
      <c r="H14" s="23"/>
      <c r="I14" s="23"/>
      <c r="J14" s="48"/>
      <c r="K14" s="40"/>
      <c r="L14" s="40"/>
      <c r="M14" s="23"/>
      <c r="N14" s="23"/>
      <c r="O14" s="25"/>
      <c r="P14" s="25"/>
      <c r="R14" s="25"/>
      <c r="S14" s="23"/>
      <c r="T14" s="23"/>
      <c r="U14" s="23"/>
      <c r="V14" s="23"/>
    </row>
    <row r="15" spans="1:27" x14ac:dyDescent="0.3">
      <c r="A15" s="31"/>
      <c r="B15" s="36"/>
      <c r="C15" s="37"/>
      <c r="D15" s="31"/>
      <c r="G15" s="23"/>
      <c r="H15" s="23"/>
      <c r="I15" s="23"/>
      <c r="J15" s="48"/>
      <c r="K15" s="40"/>
      <c r="L15" s="40"/>
      <c r="M15" s="23"/>
      <c r="N15" s="23"/>
      <c r="O15" s="25"/>
      <c r="P15" s="25"/>
      <c r="R15" s="25"/>
      <c r="S15" s="23"/>
      <c r="T15" s="23"/>
      <c r="U15" s="23"/>
      <c r="V15" s="23"/>
    </row>
    <row r="16" spans="1:27" x14ac:dyDescent="0.3">
      <c r="A16" s="31"/>
      <c r="B16" s="36"/>
      <c r="C16" s="37"/>
      <c r="D16" s="31"/>
      <c r="G16" s="23"/>
      <c r="H16" s="23"/>
      <c r="I16" s="23"/>
      <c r="J16" s="48"/>
      <c r="K16" s="40"/>
      <c r="L16" s="40"/>
      <c r="M16" s="23"/>
      <c r="N16" s="23"/>
      <c r="O16" s="25"/>
      <c r="P16" s="25"/>
      <c r="R16" s="25"/>
      <c r="S16" s="23"/>
      <c r="T16" s="23"/>
      <c r="U16" s="23"/>
      <c r="V16" s="23"/>
    </row>
    <row r="17" spans="1:23" x14ac:dyDescent="0.3">
      <c r="A17" s="31"/>
      <c r="B17" s="36"/>
      <c r="C17" s="37"/>
      <c r="D17" s="31"/>
      <c r="G17" s="23"/>
      <c r="H17" s="23"/>
      <c r="I17" s="23"/>
      <c r="J17" s="48"/>
      <c r="K17" s="40"/>
      <c r="L17" s="40"/>
      <c r="M17" s="23"/>
      <c r="N17" s="23"/>
      <c r="O17" s="25"/>
      <c r="P17" s="25"/>
      <c r="R17" s="25"/>
      <c r="S17" s="23"/>
      <c r="T17" s="23"/>
      <c r="U17" s="23"/>
      <c r="V17" s="23"/>
    </row>
    <row r="18" spans="1:23" x14ac:dyDescent="0.3">
      <c r="A18" s="31"/>
      <c r="B18" s="36"/>
      <c r="C18" s="37"/>
      <c r="D18" s="31"/>
      <c r="G18" s="23"/>
      <c r="H18" s="47"/>
      <c r="I18" s="23"/>
      <c r="J18" s="48"/>
      <c r="K18" s="40"/>
      <c r="L18" s="40"/>
      <c r="M18" s="23"/>
      <c r="N18" s="23"/>
      <c r="O18" s="25"/>
      <c r="P18" s="25"/>
      <c r="R18" s="25"/>
      <c r="S18" s="23"/>
      <c r="T18" s="23"/>
      <c r="U18" s="23"/>
      <c r="V18" s="23"/>
    </row>
    <row r="19" spans="1:23" x14ac:dyDescent="0.3">
      <c r="A19" s="49"/>
      <c r="B19" s="36"/>
      <c r="C19" s="37"/>
      <c r="D19" s="31"/>
      <c r="G19" s="23"/>
      <c r="H19" s="47"/>
      <c r="I19" s="23"/>
      <c r="J19" s="48"/>
      <c r="K19" s="40"/>
      <c r="L19" s="40"/>
      <c r="M19" s="23"/>
      <c r="N19" s="23"/>
      <c r="P19" s="25"/>
      <c r="R19" s="25"/>
      <c r="S19" s="23"/>
      <c r="T19" s="23"/>
      <c r="U19" s="23"/>
      <c r="V19" s="23"/>
      <c r="W19" s="25"/>
    </row>
    <row r="20" spans="1:23" x14ac:dyDescent="0.3">
      <c r="A20" s="31"/>
      <c r="C20" s="37"/>
      <c r="D20" s="31"/>
      <c r="G20" s="23"/>
      <c r="H20" s="47"/>
      <c r="I20" s="23"/>
      <c r="J20" s="48"/>
      <c r="K20" s="40"/>
      <c r="L20" s="40"/>
      <c r="M20" s="23"/>
      <c r="N20" s="23"/>
      <c r="O20" s="25"/>
      <c r="P20" s="25"/>
      <c r="R20" s="25"/>
      <c r="S20" s="23"/>
      <c r="T20" s="23"/>
      <c r="U20" s="23"/>
      <c r="V20" s="23"/>
    </row>
    <row r="21" spans="1:23" x14ac:dyDescent="0.3">
      <c r="A21" s="31"/>
      <c r="C21" s="37"/>
      <c r="D21" s="31"/>
      <c r="G21" s="23"/>
      <c r="H21" s="47"/>
      <c r="I21" s="23"/>
      <c r="J21" s="48"/>
      <c r="K21" s="40"/>
      <c r="L21" s="40"/>
      <c r="M21" s="23"/>
      <c r="N21" s="23"/>
      <c r="O21" s="25"/>
      <c r="P21" s="25"/>
      <c r="R21" s="25"/>
      <c r="S21" s="23"/>
      <c r="T21" s="23"/>
      <c r="U21" s="23"/>
      <c r="V21" s="23"/>
    </row>
    <row r="22" spans="1:23" x14ac:dyDescent="0.3">
      <c r="A22" s="31"/>
      <c r="C22" s="37"/>
      <c r="D22" s="31"/>
      <c r="G22" s="23"/>
      <c r="H22" s="47"/>
      <c r="I22" s="23"/>
      <c r="J22" s="48"/>
      <c r="K22" s="40"/>
      <c r="L22" s="40"/>
      <c r="M22" s="23"/>
      <c r="N22" s="23"/>
      <c r="O22" s="25"/>
      <c r="P22" s="25"/>
      <c r="R22" s="25"/>
      <c r="S22" s="23"/>
      <c r="T22" s="23"/>
      <c r="U22" s="23"/>
      <c r="V22" s="23"/>
    </row>
    <row r="23" spans="1:23" x14ac:dyDescent="0.3">
      <c r="A23" s="31"/>
      <c r="C23" s="37"/>
      <c r="D23" s="31"/>
      <c r="G23" s="23"/>
      <c r="H23" s="23"/>
      <c r="I23" s="23"/>
      <c r="J23" s="48"/>
      <c r="K23" s="40"/>
      <c r="L23" s="40"/>
      <c r="M23" s="23"/>
      <c r="N23" s="23"/>
      <c r="Q23" s="41"/>
      <c r="R23" s="25"/>
      <c r="S23" s="23"/>
      <c r="T23" s="23"/>
      <c r="U23" s="23"/>
      <c r="V23" s="23"/>
    </row>
    <row r="24" spans="1:23" x14ac:dyDescent="0.3">
      <c r="A24" s="31"/>
      <c r="C24" s="37"/>
      <c r="D24" s="31"/>
      <c r="G24" s="23"/>
      <c r="H24" s="23"/>
      <c r="I24" s="23"/>
      <c r="J24" s="48"/>
      <c r="K24" s="40"/>
      <c r="L24" s="40"/>
      <c r="M24" s="23"/>
      <c r="N24" s="23"/>
      <c r="Q24" s="41"/>
      <c r="R24" s="25"/>
      <c r="S24" s="23"/>
      <c r="T24" s="23"/>
      <c r="U24" s="23"/>
      <c r="V24" s="23"/>
    </row>
    <row r="25" spans="1:23" x14ac:dyDescent="0.3">
      <c r="A25" s="31"/>
      <c r="C25" s="37"/>
      <c r="D25" s="31"/>
      <c r="G25" s="23"/>
      <c r="H25" s="23"/>
      <c r="I25" s="23"/>
      <c r="J25" s="48"/>
      <c r="K25" s="40"/>
      <c r="L25" s="40"/>
      <c r="M25" s="23"/>
      <c r="N25" s="23"/>
      <c r="Q25" s="41"/>
      <c r="R25" s="25"/>
      <c r="S25" s="23"/>
      <c r="T25" s="23"/>
      <c r="U25" s="23"/>
      <c r="V25" s="23"/>
    </row>
    <row r="26" spans="1:23" x14ac:dyDescent="0.3">
      <c r="A26" s="31"/>
      <c r="C26" s="37"/>
      <c r="D26" s="31"/>
      <c r="G26" s="23"/>
      <c r="H26" s="23"/>
      <c r="I26" s="23"/>
      <c r="J26" s="48"/>
      <c r="K26" s="40"/>
      <c r="L26" s="40"/>
      <c r="M26" s="23"/>
      <c r="N26" s="23"/>
      <c r="Q26" s="41"/>
      <c r="R26" s="25"/>
      <c r="S26" s="23"/>
      <c r="T26" s="23"/>
      <c r="U26" s="23"/>
      <c r="V26" s="23"/>
    </row>
    <row r="27" spans="1:23" x14ac:dyDescent="0.3">
      <c r="A27" s="31"/>
      <c r="C27" s="37"/>
      <c r="D27" s="31"/>
      <c r="G27" s="23"/>
      <c r="H27" s="23"/>
      <c r="I27" s="23"/>
      <c r="J27" s="48"/>
      <c r="K27" s="40"/>
      <c r="L27" s="40"/>
      <c r="M27" s="23"/>
      <c r="N27" s="23"/>
      <c r="Q27" s="41"/>
      <c r="R27" s="25"/>
      <c r="S27" s="23"/>
      <c r="T27" s="23"/>
      <c r="U27" s="23"/>
      <c r="V27" s="23"/>
    </row>
    <row r="28" spans="1:23" x14ac:dyDescent="0.3">
      <c r="A28" s="31"/>
      <c r="C28" s="37"/>
      <c r="D28" s="31"/>
      <c r="G28" s="23"/>
      <c r="H28" s="23"/>
      <c r="I28" s="23"/>
      <c r="J28" s="48"/>
      <c r="K28" s="40"/>
      <c r="L28" s="40"/>
      <c r="M28" s="23"/>
      <c r="N28" s="23"/>
      <c r="Q28" s="41"/>
      <c r="R28" s="25"/>
      <c r="S28" s="23"/>
      <c r="T28" s="23"/>
      <c r="U28" s="23"/>
      <c r="V28" s="23"/>
    </row>
    <row r="29" spans="1:23" x14ac:dyDescent="0.3">
      <c r="A29" s="31"/>
      <c r="C29" s="37"/>
      <c r="D29" s="31"/>
      <c r="G29" s="23"/>
      <c r="H29" s="23"/>
      <c r="I29" s="23"/>
      <c r="J29" s="48"/>
      <c r="K29" s="40"/>
      <c r="L29" s="40"/>
      <c r="M29" s="23"/>
      <c r="N29" s="23"/>
      <c r="Q29" s="41"/>
      <c r="R29" s="25"/>
      <c r="S29" s="23"/>
      <c r="T29" s="23"/>
      <c r="U29" s="23"/>
      <c r="V29" s="23"/>
    </row>
    <row r="30" spans="1:23" x14ac:dyDescent="0.3">
      <c r="A30" s="31"/>
      <c r="C30" s="37"/>
      <c r="D30" s="31"/>
      <c r="G30" s="23"/>
      <c r="H30" s="23"/>
      <c r="I30" s="23"/>
      <c r="J30" s="48"/>
      <c r="K30" s="40"/>
      <c r="L30" s="40"/>
      <c r="M30" s="23"/>
      <c r="N30" s="23"/>
      <c r="Q30" s="41"/>
      <c r="R30" s="25"/>
      <c r="S30" s="23"/>
      <c r="T30" s="23"/>
      <c r="U30" s="23"/>
      <c r="V30" s="23"/>
    </row>
    <row r="31" spans="1:23" x14ac:dyDescent="0.3">
      <c r="A31" s="31"/>
      <c r="C31" s="37"/>
      <c r="D31" s="31"/>
      <c r="G31" s="23"/>
      <c r="H31" s="23"/>
      <c r="I31" s="23"/>
      <c r="J31" s="48"/>
      <c r="K31" s="40"/>
      <c r="L31" s="40"/>
      <c r="M31" s="23"/>
      <c r="N31" s="23"/>
      <c r="Q31" s="41"/>
      <c r="R31" s="25"/>
      <c r="S31" s="23"/>
      <c r="T31" s="23"/>
      <c r="U31" s="23"/>
      <c r="V31" s="23"/>
    </row>
    <row r="32" spans="1:23" x14ac:dyDescent="0.3">
      <c r="A32" s="31"/>
      <c r="C32" s="37"/>
      <c r="D32" s="31"/>
      <c r="G32" s="23"/>
      <c r="H32" s="47"/>
      <c r="I32" s="23"/>
      <c r="J32" s="48"/>
      <c r="K32" s="40"/>
      <c r="L32" s="40"/>
      <c r="M32" s="23"/>
      <c r="N32" s="23"/>
      <c r="Q32" s="41"/>
      <c r="R32" s="25"/>
      <c r="S32" s="23"/>
      <c r="T32" s="23"/>
      <c r="U32" s="23"/>
      <c r="V32" s="23"/>
    </row>
    <row r="33" spans="1:27" x14ac:dyDescent="0.3">
      <c r="A33" s="31"/>
      <c r="C33" s="37"/>
      <c r="D33" s="31"/>
      <c r="G33" s="23"/>
      <c r="H33" s="23"/>
      <c r="I33" s="23"/>
      <c r="J33" s="48"/>
      <c r="K33" s="40"/>
      <c r="L33" s="40"/>
      <c r="M33" s="23"/>
      <c r="N33" s="23"/>
      <c r="Q33" s="41"/>
      <c r="R33" s="25"/>
      <c r="S33" s="23"/>
      <c r="T33" s="23"/>
      <c r="U33" s="23"/>
      <c r="V33" s="23"/>
      <c r="Z33" s="65"/>
      <c r="AA33" s="65"/>
    </row>
    <row r="34" spans="1:27" x14ac:dyDescent="0.3">
      <c r="A34" s="31"/>
      <c r="C34" s="37"/>
      <c r="D34" s="31"/>
      <c r="G34" s="23"/>
      <c r="H34" s="23"/>
      <c r="I34" s="23"/>
      <c r="J34" s="48"/>
      <c r="K34" s="40"/>
      <c r="L34" s="40"/>
      <c r="M34" s="23"/>
      <c r="N34" s="23"/>
      <c r="Q34" s="41"/>
      <c r="R34" s="25"/>
      <c r="S34" s="23"/>
      <c r="T34" s="23"/>
      <c r="U34" s="23"/>
      <c r="V34" s="23"/>
      <c r="Z34" s="66"/>
      <c r="AA34" s="66"/>
    </row>
    <row r="35" spans="1:27" x14ac:dyDescent="0.3">
      <c r="A35" s="31"/>
      <c r="C35" s="37"/>
      <c r="D35" s="31"/>
      <c r="G35" s="23"/>
      <c r="H35" s="23"/>
      <c r="I35" s="23"/>
      <c r="J35" s="48"/>
      <c r="K35" s="40"/>
      <c r="L35" s="40"/>
      <c r="M35" s="23"/>
      <c r="N35" s="23"/>
      <c r="Q35" s="41"/>
      <c r="R35" s="25"/>
      <c r="S35" s="23"/>
      <c r="T35" s="23"/>
      <c r="U35" s="23"/>
      <c r="V35" s="23"/>
    </row>
    <row r="36" spans="1:27" x14ac:dyDescent="0.3">
      <c r="A36" s="31"/>
      <c r="C36" s="37"/>
      <c r="D36" s="31"/>
      <c r="G36" s="23"/>
      <c r="H36" s="23"/>
      <c r="I36" s="23"/>
      <c r="J36" s="48"/>
      <c r="K36" s="40"/>
      <c r="L36" s="40"/>
      <c r="M36" s="23"/>
      <c r="N36" s="23"/>
      <c r="Q36" s="41"/>
      <c r="R36" s="25"/>
      <c r="S36" s="23"/>
      <c r="T36" s="23"/>
      <c r="U36" s="23"/>
      <c r="V36" s="23"/>
    </row>
    <row r="37" spans="1:27" x14ac:dyDescent="0.3">
      <c r="A37" s="31"/>
      <c r="C37" s="37"/>
      <c r="D37" s="31"/>
      <c r="G37" s="23"/>
      <c r="H37" s="23"/>
      <c r="I37" s="23"/>
      <c r="J37" s="48"/>
      <c r="K37" s="40"/>
      <c r="L37" s="40"/>
      <c r="M37" s="23"/>
      <c r="N37" s="23"/>
      <c r="Q37" s="41"/>
      <c r="R37" s="25"/>
      <c r="S37" s="23"/>
      <c r="T37" s="23"/>
      <c r="U37" s="23"/>
      <c r="V37" s="23"/>
    </row>
    <row r="38" spans="1:27" x14ac:dyDescent="0.3">
      <c r="A38" s="31"/>
      <c r="C38" s="37"/>
      <c r="D38" s="31"/>
      <c r="G38" s="23"/>
      <c r="H38" s="23"/>
      <c r="I38" s="23"/>
      <c r="J38" s="48"/>
      <c r="K38" s="40"/>
      <c r="L38" s="40"/>
      <c r="M38" s="23"/>
      <c r="N38" s="23"/>
      <c r="Q38" s="41"/>
      <c r="R38" s="25"/>
      <c r="S38" s="23"/>
      <c r="T38" s="23"/>
      <c r="U38" s="23"/>
      <c r="V38" s="23"/>
    </row>
    <row r="39" spans="1:27" x14ac:dyDescent="0.3">
      <c r="A39" s="31"/>
      <c r="C39" s="37"/>
      <c r="D39" s="31"/>
      <c r="G39" s="23"/>
      <c r="H39" s="23"/>
      <c r="I39" s="23"/>
      <c r="J39" s="48"/>
      <c r="K39" s="40"/>
      <c r="L39" s="40"/>
      <c r="M39" s="23"/>
      <c r="N39" s="23"/>
      <c r="Q39" s="41"/>
      <c r="R39" s="25"/>
      <c r="S39" s="23"/>
      <c r="T39" s="23"/>
      <c r="U39" s="23"/>
      <c r="V39" s="23"/>
    </row>
    <row r="40" spans="1:27" x14ac:dyDescent="0.3">
      <c r="A40" s="31"/>
      <c r="C40" s="37"/>
      <c r="D40" s="31"/>
      <c r="G40" s="23"/>
      <c r="H40" s="23"/>
      <c r="I40" s="23"/>
      <c r="J40" s="48"/>
      <c r="K40" s="40"/>
      <c r="L40" s="40"/>
      <c r="M40" s="23"/>
      <c r="N40" s="23"/>
      <c r="Q40" s="41"/>
      <c r="R40" s="25"/>
      <c r="S40" s="23"/>
      <c r="T40" s="23"/>
      <c r="U40" s="23"/>
      <c r="V40" s="23"/>
    </row>
    <row r="41" spans="1:27" x14ac:dyDescent="0.3">
      <c r="A41" s="31"/>
      <c r="C41" s="37"/>
      <c r="D41" s="31"/>
      <c r="G41" s="23"/>
      <c r="H41" s="23"/>
      <c r="I41" s="23"/>
      <c r="J41" s="48"/>
      <c r="K41" s="40"/>
      <c r="L41" s="40"/>
      <c r="M41" s="23"/>
      <c r="N41" s="23"/>
      <c r="Q41" s="41"/>
      <c r="R41" s="25"/>
      <c r="S41" s="23"/>
      <c r="T41" s="23"/>
      <c r="U41" s="23"/>
      <c r="V41" s="23"/>
    </row>
    <row r="42" spans="1:27" x14ac:dyDescent="0.3">
      <c r="A42" s="31"/>
      <c r="C42" s="37"/>
      <c r="D42" s="31"/>
      <c r="G42" s="23"/>
      <c r="H42" s="23"/>
      <c r="I42" s="23"/>
      <c r="J42" s="48"/>
      <c r="K42" s="40"/>
      <c r="L42" s="40"/>
      <c r="M42" s="23"/>
      <c r="N42" s="23"/>
      <c r="Q42" s="41"/>
      <c r="R42" s="25"/>
      <c r="S42" s="23"/>
      <c r="T42" s="23"/>
      <c r="U42" s="23"/>
      <c r="V42" s="23"/>
    </row>
    <row r="43" spans="1:27" x14ac:dyDescent="0.3">
      <c r="A43" s="31"/>
      <c r="C43" s="37"/>
      <c r="D43" s="31"/>
      <c r="G43" s="23"/>
      <c r="H43" s="23"/>
      <c r="I43" s="23"/>
      <c r="J43" s="48"/>
      <c r="K43" s="40"/>
      <c r="L43" s="40"/>
      <c r="M43" s="23"/>
      <c r="N43" s="23"/>
      <c r="Q43" s="41"/>
      <c r="R43" s="25"/>
      <c r="S43" s="23"/>
      <c r="T43" s="23"/>
      <c r="U43" s="23"/>
      <c r="V43" s="23"/>
    </row>
    <row r="44" spans="1:27" x14ac:dyDescent="0.3">
      <c r="A44" s="31"/>
      <c r="C44" s="37"/>
      <c r="D44" s="31"/>
      <c r="G44" s="23"/>
      <c r="H44" s="23"/>
      <c r="I44" s="23"/>
      <c r="J44" s="48"/>
      <c r="K44" s="40"/>
      <c r="L44" s="40"/>
      <c r="M44" s="23"/>
      <c r="N44" s="23"/>
      <c r="Q44" s="41"/>
      <c r="R44" s="25"/>
      <c r="S44" s="23"/>
      <c r="T44" s="23"/>
      <c r="U44" s="23"/>
      <c r="V44" s="23"/>
    </row>
    <row r="45" spans="1:27" x14ac:dyDescent="0.3">
      <c r="A45" s="31"/>
      <c r="C45" s="37"/>
      <c r="D45" s="31"/>
      <c r="G45" s="23"/>
      <c r="H45" s="23"/>
      <c r="I45" s="23"/>
      <c r="J45" s="48"/>
      <c r="K45" s="40"/>
      <c r="L45" s="40"/>
      <c r="M45" s="23"/>
      <c r="N45" s="23"/>
      <c r="Q45" s="41"/>
      <c r="R45" s="25"/>
      <c r="S45" s="23"/>
      <c r="T45" s="23"/>
      <c r="U45" s="23"/>
      <c r="V45" s="23"/>
    </row>
    <row r="46" spans="1:27" x14ac:dyDescent="0.3">
      <c r="A46" s="31"/>
      <c r="C46" s="37"/>
      <c r="D46" s="31"/>
      <c r="G46" s="23"/>
      <c r="H46" s="23"/>
      <c r="I46" s="23"/>
      <c r="J46" s="48"/>
      <c r="K46" s="40"/>
      <c r="L46" s="40"/>
      <c r="M46" s="23"/>
      <c r="N46" s="23"/>
      <c r="Q46" s="41"/>
      <c r="R46" s="25"/>
      <c r="S46" s="23"/>
      <c r="T46" s="23"/>
      <c r="U46" s="23"/>
      <c r="V46" s="23"/>
    </row>
    <row r="47" spans="1:27" x14ac:dyDescent="0.3">
      <c r="A47" s="31"/>
      <c r="C47" s="37"/>
      <c r="D47" s="31"/>
      <c r="G47" s="23"/>
      <c r="H47" s="23"/>
      <c r="I47" s="23"/>
      <c r="J47" s="48"/>
      <c r="K47" s="40"/>
      <c r="L47" s="40"/>
      <c r="M47" s="23"/>
      <c r="N47" s="23"/>
      <c r="Q47" s="41"/>
      <c r="R47" s="25"/>
      <c r="S47" s="23"/>
      <c r="T47" s="23"/>
      <c r="U47" s="23"/>
      <c r="V47" s="23"/>
    </row>
    <row r="48" spans="1:27" x14ac:dyDescent="0.3">
      <c r="A48" s="31"/>
      <c r="C48" s="37"/>
      <c r="D48" s="31"/>
      <c r="G48" s="23"/>
      <c r="H48" s="23"/>
      <c r="I48" s="23"/>
      <c r="J48" s="48"/>
      <c r="K48" s="40"/>
      <c r="L48" s="40"/>
      <c r="M48" s="23"/>
      <c r="N48" s="23"/>
      <c r="Q48" s="41"/>
      <c r="R48" s="25"/>
      <c r="S48" s="23"/>
      <c r="T48" s="23"/>
      <c r="U48" s="23"/>
      <c r="V48" s="23"/>
    </row>
    <row r="49" spans="1:22" x14ac:dyDescent="0.3">
      <c r="A49" s="31"/>
      <c r="C49" s="37"/>
      <c r="D49" s="31"/>
      <c r="G49" s="23"/>
      <c r="H49" s="23"/>
      <c r="I49" s="23"/>
      <c r="J49" s="48"/>
      <c r="K49" s="40"/>
      <c r="L49" s="40"/>
      <c r="M49" s="23"/>
      <c r="N49" s="23"/>
      <c r="Q49" s="41"/>
      <c r="R49" s="25"/>
      <c r="S49" s="23"/>
      <c r="T49" s="23"/>
      <c r="U49" s="23"/>
      <c r="V49" s="23"/>
    </row>
    <row r="50" spans="1:22" x14ac:dyDescent="0.3">
      <c r="A50" s="31"/>
      <c r="C50" s="37"/>
      <c r="D50" s="31"/>
      <c r="G50" s="23"/>
      <c r="H50" s="23"/>
      <c r="I50" s="23"/>
      <c r="J50" s="48"/>
      <c r="K50" s="40"/>
      <c r="L50" s="40"/>
      <c r="M50" s="23"/>
      <c r="N50" s="23"/>
      <c r="Q50" s="41"/>
      <c r="R50" s="25"/>
      <c r="S50" s="23"/>
      <c r="T50" s="23"/>
      <c r="U50" s="23"/>
      <c r="V50" s="23"/>
    </row>
    <row r="51" spans="1:22" x14ac:dyDescent="0.3">
      <c r="A51" s="31"/>
      <c r="C51" s="37"/>
      <c r="D51" s="31"/>
      <c r="G51" s="23"/>
      <c r="H51" s="23"/>
      <c r="I51" s="23"/>
      <c r="J51" s="48"/>
      <c r="K51" s="40"/>
      <c r="L51" s="40"/>
      <c r="M51" s="23"/>
      <c r="N51" s="23"/>
      <c r="Q51" s="41"/>
      <c r="R51" s="25"/>
      <c r="S51" s="23"/>
      <c r="T51" s="23"/>
      <c r="U51" s="23"/>
      <c r="V51" s="23"/>
    </row>
    <row r="52" spans="1:22" x14ac:dyDescent="0.3">
      <c r="A52" s="31"/>
      <c r="C52" s="37"/>
      <c r="D52" s="31"/>
      <c r="G52" s="23"/>
      <c r="H52" s="23"/>
      <c r="I52" s="23"/>
      <c r="J52" s="48"/>
      <c r="K52" s="40"/>
      <c r="L52" s="40"/>
      <c r="M52" s="23"/>
      <c r="N52" s="23"/>
      <c r="Q52" s="41"/>
      <c r="R52" s="25"/>
      <c r="S52" s="23"/>
      <c r="T52" s="23"/>
      <c r="U52" s="23"/>
      <c r="V52" s="23"/>
    </row>
    <row r="53" spans="1:22" x14ac:dyDescent="0.3">
      <c r="A53" s="31"/>
      <c r="C53" s="37"/>
      <c r="D53" s="31"/>
      <c r="G53" s="23"/>
      <c r="H53" s="23"/>
      <c r="I53" s="23"/>
      <c r="J53" s="48"/>
      <c r="K53" s="40"/>
      <c r="L53" s="40"/>
      <c r="M53" s="23"/>
      <c r="N53" s="23"/>
      <c r="Q53" s="41"/>
      <c r="R53" s="25"/>
      <c r="S53" s="23"/>
      <c r="T53" s="23"/>
      <c r="U53" s="23"/>
      <c r="V53" s="23"/>
    </row>
    <row r="54" spans="1:22" x14ac:dyDescent="0.3">
      <c r="A54" s="31"/>
      <c r="C54" s="37"/>
      <c r="D54" s="31"/>
      <c r="G54" s="23"/>
      <c r="H54" s="23"/>
      <c r="I54" s="23"/>
      <c r="J54" s="48"/>
      <c r="K54" s="40"/>
      <c r="L54" s="40"/>
      <c r="M54" s="23"/>
      <c r="N54" s="23"/>
      <c r="Q54" s="41"/>
      <c r="R54" s="25"/>
      <c r="S54" s="23"/>
      <c r="T54" s="23"/>
      <c r="U54" s="23"/>
      <c r="V54" s="23"/>
    </row>
    <row r="55" spans="1:22" x14ac:dyDescent="0.3">
      <c r="A55" s="31"/>
      <c r="C55" s="37"/>
      <c r="D55" s="31"/>
      <c r="G55" s="23"/>
      <c r="H55" s="23"/>
      <c r="I55" s="23"/>
      <c r="J55" s="48"/>
      <c r="K55" s="40"/>
      <c r="L55" s="40"/>
      <c r="M55" s="23"/>
      <c r="N55" s="23"/>
      <c r="Q55" s="41"/>
      <c r="R55" s="25"/>
      <c r="S55" s="23"/>
      <c r="T55" s="23"/>
      <c r="U55" s="23"/>
      <c r="V55" s="23"/>
    </row>
    <row r="56" spans="1:22" x14ac:dyDescent="0.3">
      <c r="A56" s="31"/>
      <c r="C56" s="37"/>
      <c r="D56" s="31"/>
      <c r="E56" s="23"/>
      <c r="G56" s="23"/>
      <c r="H56" s="23"/>
      <c r="I56" s="23"/>
      <c r="J56" s="48"/>
      <c r="K56" s="40"/>
      <c r="L56" s="40"/>
      <c r="M56" s="23"/>
      <c r="N56" s="23"/>
      <c r="Q56" s="41"/>
      <c r="R56" s="25"/>
      <c r="S56" s="23"/>
      <c r="T56" s="23"/>
      <c r="U56" s="23"/>
      <c r="V56" s="23"/>
    </row>
    <row r="57" spans="1:22" x14ac:dyDescent="0.3">
      <c r="A57" s="31"/>
      <c r="C57" s="37"/>
      <c r="D57" s="31"/>
      <c r="E57" s="23"/>
      <c r="G57" s="23"/>
      <c r="H57" s="23"/>
      <c r="I57" s="23"/>
      <c r="J57" s="48"/>
      <c r="K57" s="40"/>
      <c r="L57" s="40"/>
      <c r="M57" s="23"/>
      <c r="N57" s="23"/>
      <c r="Q57" s="41"/>
      <c r="R57" s="25"/>
      <c r="S57" s="23"/>
      <c r="T57" s="23"/>
      <c r="U57" s="23"/>
      <c r="V57" s="23"/>
    </row>
    <row r="58" spans="1:22" x14ac:dyDescent="0.3">
      <c r="A58" s="31"/>
      <c r="C58" s="37"/>
      <c r="D58" s="31"/>
      <c r="E58" s="23"/>
      <c r="G58" s="23"/>
      <c r="H58" s="23"/>
      <c r="I58" s="23"/>
      <c r="J58" s="48"/>
      <c r="K58" s="40"/>
      <c r="L58" s="40"/>
      <c r="M58" s="23"/>
      <c r="N58" s="23"/>
      <c r="Q58" s="41"/>
      <c r="R58" s="25"/>
      <c r="S58" s="23"/>
      <c r="T58" s="23"/>
      <c r="U58" s="23"/>
      <c r="V58" s="23"/>
    </row>
    <row r="59" spans="1:22" x14ac:dyDescent="0.3">
      <c r="A59" s="31"/>
      <c r="C59" s="37"/>
      <c r="D59" s="31"/>
      <c r="E59" s="23"/>
      <c r="G59" s="23"/>
      <c r="H59" s="23"/>
      <c r="I59" s="23"/>
      <c r="J59" s="48"/>
      <c r="K59" s="40"/>
      <c r="L59" s="40"/>
      <c r="M59" s="23"/>
      <c r="N59" s="23"/>
      <c r="Q59" s="41"/>
      <c r="R59" s="25"/>
      <c r="S59" s="23"/>
      <c r="T59" s="23"/>
      <c r="U59" s="23"/>
      <c r="V59" s="23"/>
    </row>
    <row r="60" spans="1:22" x14ac:dyDescent="0.3">
      <c r="A60" s="31"/>
      <c r="C60" s="37"/>
      <c r="D60" s="31"/>
      <c r="G60" s="23"/>
      <c r="H60" s="23"/>
      <c r="I60" s="23"/>
      <c r="J60" s="48"/>
      <c r="K60" s="40"/>
      <c r="L60" s="40"/>
      <c r="M60" s="23"/>
      <c r="N60" s="33"/>
      <c r="Q60" s="41"/>
      <c r="R60" s="25"/>
      <c r="S60" s="23"/>
      <c r="T60" s="23"/>
      <c r="U60" s="23"/>
      <c r="V60" s="23"/>
    </row>
    <row r="61" spans="1:22" x14ac:dyDescent="0.3">
      <c r="A61" s="31"/>
      <c r="C61" s="37"/>
      <c r="D61" s="31"/>
      <c r="G61" s="23"/>
      <c r="H61" s="23"/>
      <c r="I61" s="23"/>
      <c r="J61" s="48"/>
      <c r="K61" s="40"/>
      <c r="L61" s="40"/>
      <c r="M61" s="23"/>
      <c r="N61" s="33"/>
      <c r="Q61" s="41"/>
      <c r="R61" s="25"/>
      <c r="S61" s="23"/>
      <c r="T61" s="23"/>
      <c r="U61" s="23"/>
      <c r="V61" s="23"/>
    </row>
    <row r="62" spans="1:22" x14ac:dyDescent="0.3">
      <c r="A62" s="31"/>
      <c r="C62" s="37"/>
      <c r="D62" s="31"/>
      <c r="G62" s="23"/>
      <c r="H62" s="23"/>
      <c r="I62" s="23"/>
      <c r="J62" s="48"/>
      <c r="K62" s="40"/>
      <c r="L62" s="40"/>
      <c r="M62" s="23"/>
      <c r="N62" s="33"/>
      <c r="Q62" s="41"/>
      <c r="R62" s="25"/>
      <c r="S62" s="23"/>
      <c r="T62" s="23"/>
      <c r="U62" s="23"/>
      <c r="V62" s="23"/>
    </row>
    <row r="63" spans="1:22" x14ac:dyDescent="0.3">
      <c r="A63" s="31"/>
      <c r="C63" s="37"/>
      <c r="D63" s="31"/>
      <c r="G63" s="23"/>
      <c r="H63" s="23"/>
      <c r="I63" s="23"/>
      <c r="J63" s="48"/>
      <c r="K63" s="40"/>
      <c r="L63" s="40"/>
      <c r="M63" s="23"/>
      <c r="N63" s="33"/>
      <c r="Q63" s="41"/>
      <c r="R63" s="25"/>
      <c r="S63" s="23"/>
      <c r="T63" s="23"/>
      <c r="U63" s="23"/>
      <c r="V63" s="23"/>
    </row>
    <row r="64" spans="1:22" x14ac:dyDescent="0.3">
      <c r="A64" s="31"/>
      <c r="C64" s="37"/>
      <c r="D64" s="31"/>
      <c r="E64" s="46"/>
      <c r="G64" s="23"/>
      <c r="H64" s="23"/>
      <c r="I64" s="23"/>
      <c r="J64" s="48"/>
      <c r="K64" s="40"/>
      <c r="L64" s="40"/>
      <c r="M64" s="23"/>
      <c r="N64" s="33"/>
      <c r="Q64" s="41"/>
      <c r="R64" s="25"/>
      <c r="S64" s="23"/>
      <c r="T64" s="23"/>
      <c r="U64" s="23"/>
      <c r="V64" s="23"/>
    </row>
    <row r="65" spans="1:22" x14ac:dyDescent="0.3">
      <c r="A65" s="31"/>
      <c r="C65" s="37"/>
      <c r="D65" s="31"/>
      <c r="E65" s="46"/>
      <c r="G65" s="23"/>
      <c r="H65" s="23"/>
      <c r="I65" s="23"/>
      <c r="J65" s="48"/>
      <c r="K65" s="40"/>
      <c r="L65" s="40"/>
      <c r="M65" s="23"/>
      <c r="N65" s="33"/>
      <c r="Q65" s="41"/>
      <c r="R65" s="25"/>
      <c r="S65" s="23"/>
      <c r="T65" s="23"/>
      <c r="U65" s="23"/>
      <c r="V65" s="23"/>
    </row>
    <row r="66" spans="1:22" x14ac:dyDescent="0.3">
      <c r="A66" s="31"/>
      <c r="C66" s="37"/>
      <c r="D66" s="31"/>
      <c r="E66" s="46"/>
      <c r="G66" s="23"/>
      <c r="H66" s="23"/>
      <c r="I66" s="23"/>
      <c r="J66" s="48"/>
      <c r="K66" s="40"/>
      <c r="L66" s="40"/>
      <c r="M66" s="23"/>
      <c r="N66" s="23"/>
      <c r="Q66" s="41"/>
      <c r="R66" s="25"/>
      <c r="S66" s="23"/>
      <c r="T66" s="23"/>
      <c r="U66" s="23"/>
      <c r="V66" s="23"/>
    </row>
    <row r="67" spans="1:22" x14ac:dyDescent="0.3">
      <c r="A67" s="31"/>
      <c r="C67" s="37"/>
      <c r="D67" s="31"/>
      <c r="G67" s="23"/>
      <c r="H67" s="23"/>
      <c r="I67" s="23"/>
      <c r="J67" s="48"/>
      <c r="K67" s="40"/>
      <c r="L67" s="40"/>
      <c r="M67" s="23"/>
      <c r="N67" s="23"/>
      <c r="Q67" s="41"/>
      <c r="R67" s="25"/>
      <c r="S67" s="23"/>
      <c r="T67" s="23"/>
      <c r="U67" s="23"/>
      <c r="V67" s="23"/>
    </row>
    <row r="68" spans="1:22" x14ac:dyDescent="0.3">
      <c r="A68" s="31"/>
      <c r="C68" s="37"/>
      <c r="D68" s="31"/>
      <c r="G68" s="23"/>
      <c r="H68" s="23"/>
      <c r="I68" s="23"/>
      <c r="J68" s="48"/>
      <c r="K68" s="40"/>
      <c r="L68" s="40"/>
      <c r="M68" s="23"/>
      <c r="N68" s="23"/>
      <c r="Q68" s="41"/>
      <c r="R68" s="25"/>
      <c r="S68" s="23"/>
      <c r="T68" s="23"/>
      <c r="U68" s="23"/>
      <c r="V68" s="23"/>
    </row>
    <row r="69" spans="1:22" x14ac:dyDescent="0.3">
      <c r="A69" s="31"/>
      <c r="C69" s="37"/>
      <c r="D69" s="31"/>
      <c r="G69" s="23"/>
      <c r="H69" s="23"/>
      <c r="I69" s="23"/>
      <c r="J69" s="48"/>
      <c r="K69" s="40"/>
      <c r="L69" s="40"/>
      <c r="M69" s="23"/>
      <c r="N69" s="23"/>
      <c r="Q69" s="41"/>
      <c r="R69" s="25"/>
      <c r="S69" s="23"/>
      <c r="T69" s="23"/>
      <c r="U69" s="23"/>
      <c r="V69" s="23"/>
    </row>
    <row r="70" spans="1:22" x14ac:dyDescent="0.3">
      <c r="A70" s="31"/>
      <c r="C70" s="37"/>
      <c r="D70" s="31"/>
      <c r="G70" s="23"/>
      <c r="H70" s="23"/>
      <c r="I70" s="23"/>
      <c r="J70" s="48"/>
      <c r="K70" s="40"/>
      <c r="L70" s="40"/>
      <c r="M70" s="23"/>
      <c r="N70" s="23"/>
      <c r="Q70" s="41"/>
      <c r="R70" s="25"/>
      <c r="S70" s="23"/>
      <c r="T70" s="23"/>
      <c r="U70" s="23"/>
      <c r="V70" s="23"/>
    </row>
    <row r="71" spans="1:22" x14ac:dyDescent="0.3">
      <c r="A71" s="31"/>
      <c r="C71" s="37"/>
      <c r="D71" s="31"/>
      <c r="G71" s="23"/>
      <c r="H71" s="23"/>
      <c r="I71" s="23"/>
      <c r="J71" s="48"/>
      <c r="K71" s="40"/>
      <c r="L71" s="40"/>
      <c r="M71" s="23"/>
      <c r="N71" s="23"/>
      <c r="Q71" s="41"/>
      <c r="R71" s="25"/>
      <c r="S71" s="23"/>
      <c r="T71" s="23"/>
      <c r="U71" s="23"/>
      <c r="V71" s="23"/>
    </row>
    <row r="72" spans="1:22" x14ac:dyDescent="0.3">
      <c r="A72" s="31"/>
      <c r="C72" s="37"/>
      <c r="D72" s="31"/>
      <c r="G72" s="23"/>
      <c r="H72" s="23"/>
      <c r="I72" s="23"/>
      <c r="J72" s="48"/>
      <c r="K72" s="40"/>
      <c r="L72" s="40"/>
      <c r="M72" s="23"/>
      <c r="N72" s="23"/>
      <c r="Q72" s="41"/>
      <c r="R72" s="25"/>
      <c r="S72" s="23"/>
      <c r="T72" s="23"/>
      <c r="U72" s="23"/>
      <c r="V72" s="23"/>
    </row>
    <row r="73" spans="1:22" x14ac:dyDescent="0.3">
      <c r="A73" s="31"/>
      <c r="C73" s="37"/>
      <c r="D73" s="31"/>
      <c r="G73" s="23"/>
      <c r="H73" s="23"/>
      <c r="I73" s="23"/>
      <c r="J73" s="48"/>
      <c r="K73" s="40"/>
      <c r="L73" s="40"/>
      <c r="M73" s="23"/>
      <c r="N73" s="23"/>
      <c r="Q73" s="41"/>
      <c r="R73" s="25"/>
      <c r="S73" s="23"/>
      <c r="T73" s="23"/>
      <c r="U73" s="23"/>
      <c r="V73" s="23"/>
    </row>
    <row r="74" spans="1:22" x14ac:dyDescent="0.3">
      <c r="A74" s="31"/>
      <c r="C74" s="37"/>
      <c r="D74" s="31"/>
      <c r="G74" s="23"/>
      <c r="H74" s="23"/>
      <c r="I74" s="23"/>
      <c r="J74" s="48"/>
      <c r="K74" s="40"/>
      <c r="L74" s="40"/>
      <c r="M74" s="23"/>
      <c r="N74" s="23"/>
      <c r="Q74" s="41"/>
      <c r="R74" s="25"/>
      <c r="S74" s="23"/>
      <c r="T74" s="23"/>
      <c r="U74" s="23"/>
      <c r="V74" s="23"/>
    </row>
    <row r="75" spans="1:22" x14ac:dyDescent="0.3">
      <c r="A75" s="31"/>
      <c r="C75" s="37"/>
      <c r="D75" s="31"/>
      <c r="G75" s="23"/>
      <c r="H75" s="23"/>
      <c r="I75" s="23"/>
      <c r="J75" s="48"/>
      <c r="K75" s="40"/>
      <c r="L75" s="40"/>
      <c r="M75" s="23"/>
      <c r="N75" s="23"/>
      <c r="Q75" s="41"/>
      <c r="R75" s="25"/>
      <c r="S75" s="23"/>
      <c r="T75" s="23"/>
      <c r="U75" s="23"/>
      <c r="V75" s="23"/>
    </row>
    <row r="76" spans="1:22" x14ac:dyDescent="0.3">
      <c r="A76" s="31"/>
      <c r="C76" s="37"/>
      <c r="D76" s="31"/>
      <c r="G76" s="23"/>
      <c r="H76" s="23"/>
      <c r="I76" s="23"/>
      <c r="J76" s="48"/>
      <c r="K76" s="40"/>
      <c r="L76" s="40"/>
      <c r="M76" s="23"/>
      <c r="N76" s="23"/>
      <c r="Q76" s="41"/>
      <c r="R76" s="25"/>
      <c r="S76" s="23"/>
      <c r="T76" s="23"/>
      <c r="U76" s="23"/>
      <c r="V76" s="23"/>
    </row>
    <row r="77" spans="1:22" x14ac:dyDescent="0.3">
      <c r="A77" s="31"/>
      <c r="C77" s="37"/>
      <c r="D77" s="31"/>
      <c r="G77" s="23"/>
      <c r="H77" s="23"/>
      <c r="I77" s="23"/>
      <c r="J77" s="39"/>
      <c r="K77" s="40"/>
      <c r="L77" s="40"/>
      <c r="M77" s="23"/>
      <c r="N77" s="23"/>
      <c r="Q77" s="41"/>
      <c r="R77" s="25"/>
      <c r="S77" s="23"/>
      <c r="T77" s="23"/>
      <c r="U77" s="23"/>
      <c r="V77" s="23"/>
    </row>
    <row r="78" spans="1:22" x14ac:dyDescent="0.3">
      <c r="A78" s="31"/>
      <c r="C78" s="37"/>
      <c r="D78" s="31"/>
      <c r="G78" s="23"/>
      <c r="H78" s="23"/>
      <c r="I78" s="23"/>
      <c r="J78" s="39"/>
      <c r="K78" s="40"/>
      <c r="L78" s="40"/>
      <c r="M78" s="23"/>
      <c r="N78" s="23"/>
      <c r="Q78" s="41"/>
      <c r="R78" s="25"/>
      <c r="S78" s="23"/>
      <c r="T78" s="23"/>
      <c r="U78" s="23"/>
      <c r="V78" s="23"/>
    </row>
    <row r="79" spans="1:22" x14ac:dyDescent="0.3">
      <c r="A79" s="31"/>
      <c r="C79" s="37"/>
      <c r="D79" s="31"/>
      <c r="G79" s="23"/>
      <c r="H79" s="23"/>
      <c r="I79" s="23"/>
      <c r="J79" s="39"/>
      <c r="K79" s="40"/>
      <c r="L79" s="40"/>
      <c r="M79" s="23"/>
      <c r="N79" s="23"/>
      <c r="P79" s="25"/>
      <c r="Q79" s="41"/>
      <c r="R79" s="25"/>
      <c r="S79" s="23"/>
      <c r="T79" s="23"/>
      <c r="U79" s="23"/>
      <c r="V79" s="23"/>
    </row>
    <row r="80" spans="1:22" x14ac:dyDescent="0.3">
      <c r="A80" s="31"/>
      <c r="C80" s="37"/>
      <c r="D80" s="31"/>
      <c r="G80" s="23"/>
      <c r="H80" s="23"/>
      <c r="I80" s="23"/>
      <c r="J80" s="39"/>
      <c r="K80" s="40"/>
      <c r="L80" s="40"/>
      <c r="M80" s="23"/>
      <c r="N80" s="23"/>
      <c r="P80" s="25"/>
      <c r="Q80" s="41"/>
      <c r="R80" s="25"/>
      <c r="S80" s="23"/>
      <c r="T80" s="23"/>
      <c r="U80" s="23"/>
      <c r="V80" s="23"/>
    </row>
    <row r="81" spans="1:22" x14ac:dyDescent="0.3">
      <c r="A81" s="31"/>
      <c r="C81" s="37"/>
      <c r="D81" s="31"/>
      <c r="G81" s="23"/>
      <c r="H81" s="23"/>
      <c r="I81" s="23"/>
      <c r="J81" s="39"/>
      <c r="K81" s="40"/>
      <c r="L81" s="40"/>
      <c r="M81" s="23"/>
      <c r="N81" s="23"/>
      <c r="P81" s="25"/>
      <c r="Q81" s="41"/>
      <c r="R81" s="25"/>
      <c r="S81" s="23"/>
      <c r="T81" s="23"/>
      <c r="U81" s="23"/>
      <c r="V81" s="23"/>
    </row>
    <row r="82" spans="1:22" x14ac:dyDescent="0.3">
      <c r="A82" s="31"/>
      <c r="C82" s="37"/>
      <c r="D82" s="31"/>
      <c r="G82" s="23"/>
      <c r="H82" s="23"/>
      <c r="I82" s="23"/>
      <c r="J82" s="39"/>
      <c r="K82" s="40"/>
      <c r="L82" s="40"/>
      <c r="M82" s="23"/>
      <c r="N82" s="23"/>
      <c r="P82" s="25"/>
      <c r="Q82" s="41"/>
      <c r="R82" s="25"/>
      <c r="S82" s="23"/>
      <c r="T82" s="23"/>
      <c r="U82" s="23"/>
      <c r="V82" s="23"/>
    </row>
    <row r="83" spans="1:22" x14ac:dyDescent="0.3">
      <c r="A83" s="31"/>
      <c r="C83" s="37"/>
      <c r="D83" s="31"/>
      <c r="G83" s="23"/>
      <c r="H83" s="23"/>
      <c r="I83" s="23"/>
      <c r="J83" s="39"/>
      <c r="K83" s="40"/>
      <c r="L83" s="40"/>
      <c r="M83" s="23"/>
      <c r="N83" s="23"/>
      <c r="Q83" s="41"/>
      <c r="R83" s="25"/>
      <c r="S83" s="23"/>
      <c r="T83" s="23"/>
      <c r="U83" s="23"/>
      <c r="V83" s="23"/>
    </row>
    <row r="84" spans="1:22" x14ac:dyDescent="0.3">
      <c r="A84" s="31"/>
      <c r="C84" s="37"/>
      <c r="D84" s="31"/>
      <c r="G84" s="23"/>
      <c r="H84" s="23"/>
      <c r="I84" s="23"/>
      <c r="J84" s="39"/>
      <c r="K84" s="40"/>
      <c r="L84" s="40"/>
      <c r="M84" s="23"/>
      <c r="N84" s="23"/>
      <c r="Q84" s="41"/>
      <c r="R84" s="25"/>
      <c r="S84" s="23"/>
      <c r="T84" s="23"/>
      <c r="U84" s="23"/>
      <c r="V84" s="23"/>
    </row>
    <row r="85" spans="1:22" x14ac:dyDescent="0.3">
      <c r="A85" s="31"/>
      <c r="C85" s="37"/>
      <c r="D85" s="31"/>
      <c r="G85" s="23"/>
      <c r="H85" s="23"/>
      <c r="I85" s="23"/>
      <c r="J85" s="39"/>
      <c r="K85" s="40"/>
      <c r="L85" s="40"/>
      <c r="M85" s="23"/>
      <c r="N85" s="23"/>
      <c r="Q85" s="41"/>
      <c r="R85" s="25"/>
      <c r="S85" s="23"/>
      <c r="T85" s="23"/>
      <c r="U85" s="23"/>
      <c r="V85" s="23"/>
    </row>
    <row r="86" spans="1:22" x14ac:dyDescent="0.3">
      <c r="A86" s="31"/>
      <c r="C86" s="37"/>
      <c r="D86" s="31"/>
      <c r="G86" s="23"/>
      <c r="H86" s="23"/>
      <c r="I86" s="23"/>
      <c r="J86" s="39"/>
      <c r="K86" s="40"/>
      <c r="L86" s="40"/>
      <c r="M86" s="23"/>
      <c r="N86" s="23"/>
      <c r="Q86" s="41"/>
      <c r="R86" s="25"/>
      <c r="S86" s="23"/>
      <c r="T86" s="23"/>
      <c r="U86" s="23"/>
      <c r="V86" s="23"/>
    </row>
    <row r="87" spans="1:22" x14ac:dyDescent="0.3">
      <c r="A87" s="31"/>
      <c r="C87" s="37"/>
      <c r="D87" s="31"/>
      <c r="H87" s="23"/>
      <c r="I87" s="23"/>
      <c r="J87" s="39"/>
      <c r="K87" s="40"/>
      <c r="L87" s="40"/>
      <c r="M87" s="23"/>
      <c r="N87" s="23"/>
      <c r="Q87" s="41"/>
      <c r="R87" s="25"/>
      <c r="S87" s="23"/>
      <c r="T87" s="23"/>
      <c r="U87" s="23"/>
      <c r="V87" s="23"/>
    </row>
    <row r="88" spans="1:22" x14ac:dyDescent="0.3">
      <c r="A88" s="31"/>
      <c r="C88" s="37"/>
      <c r="D88" s="31"/>
      <c r="G88" s="23"/>
      <c r="H88" s="23"/>
      <c r="I88" s="23"/>
      <c r="J88" s="39"/>
      <c r="K88" s="40"/>
      <c r="L88" s="40"/>
      <c r="M88" s="23"/>
      <c r="N88" s="23"/>
      <c r="Q88" s="41"/>
      <c r="R88" s="25"/>
      <c r="S88" s="23"/>
      <c r="T88" s="23"/>
      <c r="U88" s="23"/>
      <c r="V88" s="23"/>
    </row>
    <row r="89" spans="1:22" x14ac:dyDescent="0.3">
      <c r="A89" s="31"/>
      <c r="C89" s="37"/>
      <c r="D89" s="31"/>
      <c r="G89" s="23"/>
      <c r="H89" s="23"/>
      <c r="I89" s="23"/>
      <c r="J89" s="39"/>
      <c r="K89" s="40"/>
      <c r="L89" s="40"/>
      <c r="M89" s="23"/>
      <c r="N89" s="23"/>
      <c r="Q89" s="41"/>
      <c r="R89" s="25"/>
      <c r="S89" s="23"/>
      <c r="T89" s="23"/>
      <c r="U89" s="23"/>
      <c r="V89" s="23"/>
    </row>
    <row r="90" spans="1:22" x14ac:dyDescent="0.3">
      <c r="A90" s="31"/>
      <c r="C90" s="37"/>
      <c r="D90" s="31"/>
      <c r="G90" s="23"/>
      <c r="H90" s="23"/>
      <c r="I90" s="23"/>
      <c r="J90" s="39"/>
      <c r="K90" s="40"/>
      <c r="L90" s="40"/>
      <c r="M90" s="23"/>
      <c r="N90" s="23"/>
      <c r="Q90" s="41"/>
      <c r="R90" s="25"/>
      <c r="S90" s="23"/>
      <c r="T90" s="23"/>
      <c r="U90" s="23"/>
      <c r="V90" s="23"/>
    </row>
    <row r="91" spans="1:22" x14ac:dyDescent="0.3">
      <c r="A91" s="31"/>
      <c r="C91" s="37"/>
      <c r="D91" s="31"/>
      <c r="G91" s="23"/>
      <c r="H91" s="23"/>
      <c r="I91" s="23"/>
      <c r="J91" s="39"/>
      <c r="K91" s="40"/>
      <c r="L91" s="40"/>
      <c r="M91" s="23"/>
      <c r="N91" s="23"/>
      <c r="Q91" s="41"/>
      <c r="R91" s="25"/>
      <c r="S91" s="23"/>
      <c r="T91" s="23"/>
      <c r="U91" s="23"/>
      <c r="V91" s="23"/>
    </row>
    <row r="92" spans="1:22" x14ac:dyDescent="0.3">
      <c r="A92" s="31"/>
      <c r="C92" s="37"/>
      <c r="D92" s="31"/>
      <c r="H92" s="23"/>
      <c r="I92" s="23"/>
      <c r="J92" s="39"/>
      <c r="K92" s="40"/>
      <c r="L92" s="40"/>
      <c r="M92" s="23"/>
      <c r="N92" s="23"/>
      <c r="Q92" s="41"/>
      <c r="R92" s="25"/>
      <c r="S92" s="23"/>
      <c r="T92" s="23"/>
      <c r="U92" s="23"/>
      <c r="V92" s="23"/>
    </row>
    <row r="93" spans="1:22" x14ac:dyDescent="0.3">
      <c r="A93" s="31"/>
      <c r="C93" s="37"/>
      <c r="D93" s="31"/>
      <c r="H93" s="23"/>
      <c r="I93" s="23"/>
      <c r="J93" s="39"/>
      <c r="K93" s="40"/>
      <c r="L93" s="40"/>
      <c r="M93" s="23"/>
      <c r="N93" s="23"/>
      <c r="Q93" s="41"/>
      <c r="R93" s="25"/>
      <c r="S93" s="23"/>
      <c r="T93" s="23"/>
      <c r="U93" s="23"/>
      <c r="V93" s="23"/>
    </row>
    <row r="94" spans="1:22" x14ac:dyDescent="0.3">
      <c r="A94" s="31"/>
      <c r="C94" s="37"/>
      <c r="D94" s="31"/>
      <c r="H94" s="23"/>
      <c r="I94" s="23"/>
      <c r="J94" s="39"/>
      <c r="K94" s="40"/>
      <c r="L94" s="40"/>
      <c r="M94" s="23"/>
      <c r="N94" s="23"/>
      <c r="Q94" s="41"/>
      <c r="R94" s="25"/>
      <c r="S94" s="23"/>
      <c r="T94" s="23"/>
      <c r="U94" s="23"/>
      <c r="V94" s="23"/>
    </row>
    <row r="95" spans="1:22" x14ac:dyDescent="0.3">
      <c r="A95" s="31"/>
      <c r="C95" s="37"/>
      <c r="D95" s="31"/>
      <c r="H95" s="23"/>
      <c r="I95" s="23"/>
      <c r="J95" s="39"/>
      <c r="K95" s="40"/>
      <c r="L95" s="40"/>
      <c r="M95" s="23"/>
      <c r="N95" s="23"/>
      <c r="Q95" s="41"/>
      <c r="R95" s="25"/>
      <c r="S95" s="23"/>
      <c r="T95" s="23"/>
      <c r="U95" s="23"/>
      <c r="V95" s="23"/>
    </row>
    <row r="96" spans="1:22" x14ac:dyDescent="0.3">
      <c r="A96" s="31"/>
      <c r="C96" s="37"/>
      <c r="D96" s="31"/>
      <c r="H96" s="23"/>
      <c r="I96" s="23"/>
      <c r="J96" s="39"/>
      <c r="K96" s="40"/>
      <c r="L96" s="40"/>
      <c r="M96" s="23"/>
      <c r="N96" s="23"/>
      <c r="Q96" s="41"/>
      <c r="R96" s="25"/>
      <c r="S96" s="23"/>
      <c r="T96" s="23"/>
      <c r="U96" s="23"/>
      <c r="V96" s="23"/>
    </row>
    <row r="97" spans="1:27" x14ac:dyDescent="0.3">
      <c r="A97" s="31"/>
      <c r="C97" s="37"/>
      <c r="D97" s="31"/>
      <c r="H97" s="23"/>
      <c r="I97" s="23"/>
      <c r="J97" s="39"/>
      <c r="K97" s="40"/>
      <c r="L97" s="40"/>
      <c r="M97" s="23"/>
      <c r="N97" s="23"/>
      <c r="Q97" s="41"/>
      <c r="R97" s="25"/>
      <c r="S97" s="23"/>
      <c r="T97" s="23"/>
      <c r="U97" s="23"/>
      <c r="V97" s="23"/>
    </row>
    <row r="98" spans="1:27" x14ac:dyDescent="0.3">
      <c r="A98" s="31"/>
      <c r="C98" s="37"/>
      <c r="D98" s="31"/>
      <c r="H98" s="23"/>
      <c r="I98" s="23"/>
      <c r="J98" s="39"/>
      <c r="K98" s="40"/>
      <c r="L98" s="40"/>
      <c r="M98" s="23"/>
      <c r="N98" s="23"/>
      <c r="Q98" s="41"/>
      <c r="R98" s="25"/>
      <c r="S98" s="23"/>
      <c r="T98" s="23"/>
      <c r="U98" s="23"/>
      <c r="V98" s="23"/>
    </row>
    <row r="99" spans="1:27" x14ac:dyDescent="0.3">
      <c r="A99" s="31"/>
      <c r="C99" s="37"/>
      <c r="D99" s="31"/>
      <c r="H99" s="23"/>
      <c r="I99" s="23"/>
      <c r="J99" s="39"/>
      <c r="K99" s="40"/>
      <c r="L99" s="40"/>
      <c r="M99" s="23"/>
      <c r="N99" s="23"/>
      <c r="P99" s="23"/>
      <c r="Q99" s="23"/>
      <c r="R99" s="25"/>
      <c r="S99" s="23"/>
      <c r="T99" s="23"/>
      <c r="U99" s="23"/>
      <c r="V99" s="23"/>
    </row>
    <row r="100" spans="1:27" x14ac:dyDescent="0.3">
      <c r="A100" s="31"/>
      <c r="C100" s="37"/>
      <c r="D100" s="31"/>
      <c r="H100" s="23"/>
      <c r="I100" s="23"/>
      <c r="J100" s="39"/>
      <c r="K100" s="40"/>
      <c r="L100" s="40"/>
      <c r="M100" s="23"/>
      <c r="N100" s="23"/>
      <c r="P100" s="23"/>
      <c r="Q100" s="23"/>
      <c r="R100" s="25"/>
      <c r="S100" s="23"/>
      <c r="T100" s="23"/>
      <c r="U100" s="23"/>
      <c r="V100" s="23"/>
    </row>
    <row r="101" spans="1:27" x14ac:dyDescent="0.3">
      <c r="A101" s="31"/>
      <c r="C101" s="37"/>
      <c r="D101" s="31"/>
      <c r="H101" s="23"/>
      <c r="I101" s="23"/>
      <c r="J101" s="39"/>
      <c r="K101" s="40"/>
      <c r="L101" s="40"/>
      <c r="M101" s="23"/>
      <c r="N101" s="23"/>
      <c r="P101" s="23"/>
      <c r="Q101" s="23"/>
      <c r="R101" s="25"/>
      <c r="S101" s="23"/>
      <c r="T101" s="23"/>
      <c r="U101" s="23"/>
      <c r="V101" s="23"/>
    </row>
    <row r="102" spans="1:27" x14ac:dyDescent="0.3">
      <c r="A102" s="31"/>
      <c r="C102" s="37"/>
      <c r="D102" s="31"/>
      <c r="H102" s="23"/>
      <c r="I102" s="23"/>
      <c r="J102" s="39"/>
      <c r="K102" s="40"/>
      <c r="L102" s="40"/>
      <c r="M102" s="23"/>
      <c r="N102" s="23"/>
      <c r="P102" s="23"/>
      <c r="Q102" s="23"/>
      <c r="R102" s="25"/>
      <c r="S102" s="23"/>
      <c r="T102" s="23"/>
      <c r="U102" s="23"/>
      <c r="V102" s="23"/>
    </row>
    <row r="103" spans="1:27" x14ac:dyDescent="0.3">
      <c r="A103" s="31"/>
      <c r="C103" s="37"/>
      <c r="D103" s="31"/>
      <c r="H103" s="23"/>
      <c r="I103" s="23"/>
      <c r="J103" s="39"/>
      <c r="K103" s="40"/>
      <c r="L103" s="40"/>
      <c r="M103" s="23"/>
      <c r="N103" s="23"/>
      <c r="P103" s="23"/>
      <c r="Q103" s="23"/>
      <c r="R103" s="25"/>
      <c r="S103" s="23"/>
      <c r="T103" s="23"/>
      <c r="U103" s="23"/>
      <c r="V103" s="23"/>
    </row>
    <row r="104" spans="1:27" s="44" customFormat="1" x14ac:dyDescent="0.3">
      <c r="A104" s="31"/>
      <c r="B104" s="50"/>
      <c r="C104" s="37"/>
      <c r="D104" s="31"/>
      <c r="E104" s="38"/>
      <c r="F104" s="38"/>
      <c r="G104" s="38"/>
      <c r="H104" s="23"/>
      <c r="I104" s="23"/>
      <c r="J104" s="39"/>
      <c r="K104" s="40"/>
      <c r="L104" s="40"/>
      <c r="M104" s="23"/>
      <c r="N104" s="23"/>
      <c r="O104" s="41"/>
      <c r="P104" s="23"/>
      <c r="Q104" s="23"/>
      <c r="R104" s="25"/>
      <c r="S104" s="23"/>
      <c r="T104" s="23"/>
      <c r="U104" s="23"/>
      <c r="V104" s="23"/>
      <c r="W104" s="41"/>
      <c r="X104" s="24"/>
      <c r="Y104" s="24"/>
      <c r="Z104" s="24"/>
      <c r="AA104" s="24"/>
    </row>
    <row r="105" spans="1:27" x14ac:dyDescent="0.3">
      <c r="A105" s="31"/>
      <c r="C105" s="37"/>
      <c r="D105" s="31"/>
      <c r="H105" s="23"/>
      <c r="I105" s="23"/>
      <c r="J105" s="39"/>
      <c r="K105" s="40"/>
      <c r="L105" s="40"/>
      <c r="M105" s="23"/>
      <c r="N105" s="23"/>
      <c r="P105" s="23"/>
      <c r="Q105" s="23"/>
      <c r="R105" s="25"/>
      <c r="S105" s="23"/>
      <c r="T105" s="23"/>
      <c r="U105" s="23"/>
      <c r="V105" s="23"/>
    </row>
    <row r="106" spans="1:27" x14ac:dyDescent="0.3">
      <c r="A106" s="31"/>
      <c r="C106" s="37"/>
      <c r="D106" s="31"/>
      <c r="H106" s="23"/>
      <c r="I106" s="23"/>
      <c r="J106" s="39"/>
      <c r="K106" s="40"/>
      <c r="L106" s="40"/>
      <c r="M106" s="23"/>
      <c r="N106" s="23"/>
      <c r="P106" s="23"/>
      <c r="Q106" s="23"/>
      <c r="R106" s="25"/>
      <c r="S106" s="23"/>
      <c r="T106" s="23"/>
      <c r="U106" s="23"/>
      <c r="V106" s="23"/>
    </row>
    <row r="107" spans="1:27" s="44" customFormat="1" x14ac:dyDescent="0.3">
      <c r="A107" s="31"/>
      <c r="B107" s="50"/>
      <c r="C107" s="37"/>
      <c r="D107" s="31"/>
      <c r="E107" s="38"/>
      <c r="F107" s="38"/>
      <c r="G107" s="23"/>
      <c r="H107" s="23"/>
      <c r="I107" s="23"/>
      <c r="J107" s="39"/>
      <c r="K107" s="40"/>
      <c r="L107" s="40"/>
      <c r="M107" s="23"/>
      <c r="N107" s="23"/>
      <c r="O107" s="41"/>
      <c r="P107" s="25"/>
      <c r="Q107" s="25"/>
      <c r="R107" s="25"/>
      <c r="S107" s="23"/>
      <c r="T107" s="23"/>
      <c r="U107" s="23"/>
      <c r="V107" s="23"/>
      <c r="W107" s="41"/>
      <c r="X107" s="24"/>
      <c r="Y107" s="24"/>
      <c r="Z107" s="24"/>
      <c r="AA107" s="24"/>
    </row>
    <row r="108" spans="1:27" x14ac:dyDescent="0.3">
      <c r="A108" s="31"/>
      <c r="C108" s="51"/>
      <c r="D108" s="31"/>
      <c r="H108" s="23"/>
      <c r="I108" s="23"/>
      <c r="J108" s="39"/>
      <c r="K108" s="40"/>
      <c r="L108" s="40"/>
      <c r="M108" s="23"/>
      <c r="N108" s="23"/>
      <c r="Q108" s="41"/>
      <c r="R108" s="25"/>
      <c r="S108" s="23"/>
      <c r="T108" s="23"/>
      <c r="U108" s="23"/>
      <c r="V108" s="23"/>
    </row>
    <row r="109" spans="1:27" x14ac:dyDescent="0.3">
      <c r="A109" s="31"/>
      <c r="C109" s="51"/>
      <c r="D109" s="31"/>
      <c r="H109" s="23"/>
      <c r="I109" s="23"/>
      <c r="J109" s="39"/>
      <c r="K109" s="40"/>
      <c r="L109" s="40"/>
      <c r="M109" s="23"/>
      <c r="N109" s="23"/>
      <c r="Q109" s="41"/>
      <c r="R109" s="25"/>
      <c r="S109" s="23"/>
      <c r="T109" s="23"/>
      <c r="U109" s="23"/>
      <c r="V109" s="23"/>
    </row>
    <row r="110" spans="1:27" x14ac:dyDescent="0.3">
      <c r="A110" s="31"/>
      <c r="C110" s="51"/>
      <c r="D110" s="31"/>
      <c r="H110" s="23"/>
      <c r="I110" s="23"/>
      <c r="J110" s="39"/>
      <c r="K110" s="40"/>
      <c r="L110" s="40"/>
      <c r="M110" s="23"/>
      <c r="N110" s="23"/>
      <c r="Q110" s="41"/>
      <c r="R110" s="25"/>
      <c r="S110" s="23"/>
      <c r="T110" s="23"/>
      <c r="U110" s="23"/>
      <c r="V110" s="23"/>
    </row>
    <row r="111" spans="1:27" x14ac:dyDescent="0.3">
      <c r="A111" s="31"/>
      <c r="C111" s="51"/>
      <c r="D111" s="31"/>
      <c r="H111" s="23"/>
      <c r="I111" s="23"/>
      <c r="J111" s="39"/>
      <c r="K111" s="40"/>
      <c r="L111" s="40"/>
      <c r="M111" s="23"/>
      <c r="N111" s="23"/>
      <c r="Q111" s="41"/>
      <c r="R111" s="25"/>
      <c r="S111" s="23"/>
      <c r="T111" s="23"/>
      <c r="U111" s="23"/>
      <c r="V111" s="23"/>
    </row>
    <row r="112" spans="1:27" s="32" customFormat="1" x14ac:dyDescent="0.3">
      <c r="A112" s="23"/>
      <c r="B112" s="50"/>
      <c r="C112" s="51"/>
      <c r="D112" s="31"/>
      <c r="E112" s="23"/>
      <c r="F112" s="23"/>
      <c r="G112" s="23"/>
      <c r="H112" s="23"/>
      <c r="I112" s="23"/>
      <c r="J112" s="39"/>
      <c r="K112" s="40"/>
      <c r="L112" s="40"/>
      <c r="M112" s="23"/>
      <c r="N112" s="23"/>
      <c r="O112" s="41"/>
      <c r="P112" s="41"/>
      <c r="Q112" s="41"/>
      <c r="R112" s="25"/>
      <c r="S112" s="23"/>
      <c r="T112" s="23"/>
      <c r="U112" s="23"/>
      <c r="V112" s="23"/>
      <c r="W112" s="41"/>
      <c r="X112" s="24"/>
      <c r="Y112" s="23"/>
      <c r="Z112" s="24"/>
      <c r="AA112" s="24"/>
    </row>
    <row r="113" spans="1:27" x14ac:dyDescent="0.3">
      <c r="A113" s="31"/>
      <c r="C113" s="51"/>
      <c r="D113" s="31"/>
      <c r="H113" s="23"/>
      <c r="I113" s="23"/>
      <c r="J113" s="39"/>
      <c r="K113" s="40"/>
      <c r="L113" s="40"/>
      <c r="M113" s="23"/>
      <c r="N113" s="23"/>
      <c r="Q113" s="41"/>
      <c r="R113" s="25"/>
      <c r="S113" s="23"/>
      <c r="T113" s="23"/>
      <c r="U113" s="23"/>
      <c r="V113" s="23"/>
    </row>
    <row r="114" spans="1:27" x14ac:dyDescent="0.3">
      <c r="A114" s="31"/>
      <c r="C114" s="51"/>
      <c r="D114" s="31"/>
      <c r="H114" s="23"/>
      <c r="I114" s="23"/>
      <c r="J114" s="39"/>
      <c r="K114" s="40"/>
      <c r="L114" s="40"/>
      <c r="M114" s="23"/>
      <c r="N114" s="23"/>
      <c r="Q114" s="41"/>
      <c r="R114" s="25"/>
      <c r="S114" s="23"/>
      <c r="T114" s="23"/>
      <c r="U114" s="23"/>
      <c r="V114" s="23"/>
    </row>
    <row r="115" spans="1:27" x14ac:dyDescent="0.3">
      <c r="A115" s="31"/>
      <c r="C115" s="51"/>
      <c r="D115" s="31"/>
      <c r="H115" s="23"/>
      <c r="I115" s="23"/>
      <c r="J115" s="39"/>
      <c r="K115" s="40"/>
      <c r="L115" s="40"/>
      <c r="M115" s="23"/>
      <c r="N115" s="23"/>
      <c r="Q115" s="41"/>
      <c r="R115" s="25"/>
      <c r="S115" s="23"/>
      <c r="T115" s="23"/>
      <c r="U115" s="23"/>
      <c r="V115" s="23"/>
    </row>
    <row r="116" spans="1:27" x14ac:dyDescent="0.3">
      <c r="A116" s="31"/>
      <c r="C116" s="51"/>
      <c r="D116" s="31"/>
      <c r="H116" s="23"/>
      <c r="I116" s="23"/>
      <c r="J116" s="39"/>
      <c r="K116" s="40"/>
      <c r="L116" s="40"/>
      <c r="M116" s="23"/>
      <c r="N116" s="23"/>
      <c r="Q116" s="41"/>
      <c r="R116" s="25"/>
      <c r="S116" s="23"/>
      <c r="T116" s="23"/>
      <c r="U116" s="23"/>
      <c r="V116" s="23"/>
    </row>
    <row r="117" spans="1:27" x14ac:dyDescent="0.3">
      <c r="A117" s="31"/>
      <c r="C117" s="51"/>
      <c r="D117" s="31"/>
      <c r="H117" s="23"/>
      <c r="I117" s="23"/>
      <c r="J117" s="39"/>
      <c r="K117" s="40"/>
      <c r="L117" s="40"/>
      <c r="M117" s="23"/>
      <c r="N117" s="23"/>
      <c r="Q117" s="41"/>
      <c r="R117" s="25"/>
      <c r="S117" s="23"/>
      <c r="T117" s="23"/>
      <c r="U117" s="23"/>
      <c r="V117" s="23"/>
    </row>
    <row r="118" spans="1:27" x14ac:dyDescent="0.3">
      <c r="A118" s="31"/>
      <c r="C118" s="51"/>
      <c r="D118" s="31"/>
      <c r="H118" s="23"/>
      <c r="I118" s="23"/>
      <c r="J118" s="39"/>
      <c r="K118" s="40"/>
      <c r="L118" s="40"/>
      <c r="M118" s="23"/>
      <c r="N118" s="23"/>
      <c r="Q118" s="41"/>
      <c r="R118" s="25"/>
      <c r="S118" s="23"/>
      <c r="T118" s="23"/>
      <c r="U118" s="23"/>
      <c r="V118" s="23"/>
    </row>
    <row r="119" spans="1:27" x14ac:dyDescent="0.3">
      <c r="A119" s="31"/>
      <c r="C119" s="51"/>
      <c r="D119" s="31"/>
      <c r="H119" s="23"/>
      <c r="I119" s="23"/>
      <c r="J119" s="39"/>
      <c r="K119" s="40"/>
      <c r="L119" s="40"/>
      <c r="M119" s="23"/>
      <c r="N119" s="23"/>
      <c r="Q119" s="41"/>
      <c r="R119" s="25"/>
      <c r="S119" s="23"/>
      <c r="T119" s="23"/>
      <c r="U119" s="23"/>
      <c r="V119" s="23"/>
    </row>
    <row r="120" spans="1:27" x14ac:dyDescent="0.3">
      <c r="A120" s="31"/>
      <c r="C120" s="51"/>
      <c r="D120" s="31"/>
      <c r="H120" s="23"/>
      <c r="I120" s="23"/>
      <c r="J120" s="39"/>
      <c r="K120" s="40"/>
      <c r="L120" s="40"/>
      <c r="M120" s="23"/>
      <c r="N120" s="23"/>
      <c r="Q120" s="41"/>
      <c r="R120" s="25"/>
      <c r="S120" s="23"/>
      <c r="T120" s="23"/>
      <c r="U120" s="23"/>
      <c r="V120" s="23"/>
    </row>
    <row r="121" spans="1:27" s="44" customFormat="1" x14ac:dyDescent="0.3">
      <c r="A121" s="31"/>
      <c r="B121" s="50"/>
      <c r="C121" s="51"/>
      <c r="D121" s="31"/>
      <c r="E121" s="38"/>
      <c r="F121" s="38"/>
      <c r="G121" s="38"/>
      <c r="H121" s="23"/>
      <c r="I121" s="23"/>
      <c r="J121" s="39"/>
      <c r="K121" s="40"/>
      <c r="L121" s="40"/>
      <c r="M121" s="23"/>
      <c r="N121" s="23"/>
      <c r="O121" s="41"/>
      <c r="P121" s="41"/>
      <c r="Q121" s="41"/>
      <c r="R121" s="25"/>
      <c r="S121" s="23"/>
      <c r="T121" s="23"/>
      <c r="U121" s="23"/>
      <c r="V121" s="23"/>
      <c r="W121" s="41"/>
      <c r="X121" s="24"/>
      <c r="Y121" s="24"/>
      <c r="Z121" s="24"/>
      <c r="AA121" s="24"/>
    </row>
    <row r="122" spans="1:27" x14ac:dyDescent="0.3">
      <c r="A122" s="31"/>
      <c r="C122" s="51"/>
      <c r="D122" s="31"/>
      <c r="H122" s="23"/>
      <c r="I122" s="23"/>
      <c r="J122" s="39"/>
      <c r="K122" s="40"/>
      <c r="L122" s="40"/>
      <c r="M122" s="23"/>
      <c r="N122" s="23"/>
      <c r="Q122" s="41"/>
      <c r="R122" s="25"/>
      <c r="S122" s="23"/>
      <c r="T122" s="23"/>
      <c r="U122" s="23"/>
      <c r="V122" s="23"/>
    </row>
    <row r="123" spans="1:27" x14ac:dyDescent="0.3">
      <c r="A123" s="31"/>
      <c r="C123" s="51"/>
      <c r="D123" s="31"/>
      <c r="H123" s="23"/>
      <c r="I123" s="23"/>
      <c r="J123" s="39"/>
      <c r="K123" s="40"/>
      <c r="L123" s="40"/>
      <c r="M123" s="23"/>
      <c r="N123" s="23"/>
      <c r="Q123" s="41"/>
      <c r="R123" s="25"/>
      <c r="S123" s="23"/>
      <c r="T123" s="23"/>
      <c r="U123" s="23"/>
      <c r="V123" s="23"/>
    </row>
    <row r="124" spans="1:27" x14ac:dyDescent="0.3">
      <c r="A124" s="31"/>
      <c r="C124" s="51"/>
      <c r="D124" s="31"/>
      <c r="H124" s="23"/>
      <c r="I124" s="23"/>
      <c r="J124" s="39"/>
      <c r="K124" s="40"/>
      <c r="L124" s="40"/>
      <c r="M124" s="23"/>
      <c r="N124" s="23"/>
      <c r="Q124" s="41"/>
      <c r="R124" s="25"/>
      <c r="S124" s="23"/>
      <c r="T124" s="23"/>
      <c r="U124" s="23"/>
      <c r="V124" s="23"/>
    </row>
    <row r="125" spans="1:27" x14ac:dyDescent="0.3">
      <c r="A125" s="31"/>
      <c r="C125" s="51"/>
      <c r="D125" s="31"/>
      <c r="H125" s="23"/>
      <c r="I125" s="23"/>
      <c r="J125" s="39"/>
      <c r="K125" s="40"/>
      <c r="L125" s="40"/>
      <c r="M125" s="23"/>
      <c r="N125" s="23"/>
      <c r="Q125" s="41"/>
      <c r="R125" s="25"/>
      <c r="S125" s="23"/>
      <c r="T125" s="23"/>
      <c r="U125" s="23"/>
      <c r="V125" s="23"/>
    </row>
    <row r="126" spans="1:27" x14ac:dyDescent="0.3">
      <c r="A126" s="31"/>
      <c r="C126" s="51"/>
      <c r="D126" s="31"/>
      <c r="H126" s="23"/>
      <c r="I126" s="23"/>
      <c r="J126" s="39"/>
      <c r="K126" s="40"/>
      <c r="L126" s="40"/>
      <c r="M126" s="23"/>
      <c r="N126" s="23"/>
      <c r="Q126" s="41"/>
      <c r="R126" s="25"/>
      <c r="S126" s="23"/>
      <c r="T126" s="23"/>
      <c r="U126" s="23"/>
      <c r="V126" s="23"/>
    </row>
    <row r="127" spans="1:27" x14ac:dyDescent="0.3">
      <c r="A127" s="31"/>
      <c r="C127" s="51"/>
      <c r="D127" s="31"/>
      <c r="H127" s="23"/>
      <c r="I127" s="23"/>
      <c r="J127" s="39"/>
      <c r="K127" s="40"/>
      <c r="L127" s="40"/>
      <c r="M127" s="23"/>
      <c r="N127" s="23"/>
      <c r="Q127" s="41"/>
      <c r="R127" s="25"/>
      <c r="S127" s="23"/>
      <c r="T127" s="23"/>
      <c r="U127" s="23"/>
      <c r="V127" s="23"/>
    </row>
    <row r="128" spans="1:27" x14ac:dyDescent="0.3">
      <c r="A128" s="31"/>
      <c r="C128" s="51"/>
      <c r="D128" s="31"/>
      <c r="H128" s="23"/>
      <c r="I128" s="23"/>
      <c r="J128" s="39"/>
      <c r="K128" s="40"/>
      <c r="L128" s="40"/>
      <c r="M128" s="23"/>
      <c r="N128" s="23"/>
      <c r="Q128" s="41"/>
      <c r="R128" s="25"/>
      <c r="S128" s="23"/>
      <c r="T128" s="23"/>
      <c r="U128" s="23"/>
      <c r="V128" s="23"/>
    </row>
    <row r="129" spans="1:22" x14ac:dyDescent="0.3">
      <c r="A129" s="31"/>
      <c r="C129" s="51"/>
      <c r="D129" s="31"/>
      <c r="H129" s="23"/>
      <c r="I129" s="23"/>
      <c r="J129" s="39"/>
      <c r="K129" s="40"/>
      <c r="L129" s="40"/>
      <c r="M129" s="23"/>
      <c r="N129" s="23"/>
      <c r="Q129" s="41"/>
      <c r="R129" s="25"/>
      <c r="S129" s="23"/>
      <c r="T129" s="23"/>
      <c r="U129" s="23"/>
      <c r="V129" s="23"/>
    </row>
    <row r="130" spans="1:22" x14ac:dyDescent="0.3">
      <c r="A130" s="31"/>
      <c r="C130" s="51"/>
      <c r="D130" s="31"/>
      <c r="H130" s="23"/>
      <c r="I130" s="23"/>
      <c r="J130" s="39"/>
      <c r="K130" s="40"/>
      <c r="L130" s="40"/>
      <c r="M130" s="23"/>
      <c r="N130" s="23"/>
      <c r="Q130" s="41"/>
      <c r="R130" s="25"/>
      <c r="S130" s="23"/>
      <c r="T130" s="23"/>
      <c r="U130" s="23"/>
      <c r="V130" s="23"/>
    </row>
    <row r="131" spans="1:22" x14ac:dyDescent="0.3">
      <c r="A131" s="31"/>
      <c r="C131" s="51"/>
      <c r="D131" s="31"/>
      <c r="H131" s="23"/>
      <c r="I131" s="23"/>
      <c r="J131" s="39"/>
      <c r="K131" s="40"/>
      <c r="L131" s="40"/>
      <c r="M131" s="23"/>
      <c r="N131" s="23"/>
      <c r="Q131" s="41"/>
      <c r="R131" s="25"/>
      <c r="S131" s="23"/>
      <c r="T131" s="23"/>
      <c r="U131" s="23"/>
      <c r="V131" s="23"/>
    </row>
    <row r="132" spans="1:22" x14ac:dyDescent="0.3">
      <c r="A132" s="31"/>
      <c r="C132" s="51"/>
      <c r="D132" s="31"/>
      <c r="H132" s="23"/>
      <c r="I132" s="23"/>
      <c r="J132" s="39"/>
      <c r="K132" s="40"/>
      <c r="L132" s="40"/>
      <c r="M132" s="23"/>
      <c r="N132" s="23"/>
      <c r="Q132" s="41"/>
      <c r="R132" s="25"/>
      <c r="S132" s="23"/>
      <c r="T132" s="23"/>
      <c r="U132" s="23"/>
      <c r="V132" s="23"/>
    </row>
    <row r="133" spans="1:22" x14ac:dyDescent="0.3">
      <c r="A133" s="31"/>
      <c r="C133" s="51"/>
      <c r="D133" s="31"/>
      <c r="H133" s="23"/>
      <c r="I133" s="23"/>
      <c r="J133" s="39"/>
      <c r="K133" s="40"/>
      <c r="L133" s="40"/>
      <c r="M133" s="23"/>
      <c r="N133" s="23"/>
      <c r="Q133" s="41"/>
      <c r="R133" s="25"/>
      <c r="S133" s="23"/>
      <c r="T133" s="23"/>
      <c r="U133" s="23"/>
      <c r="V133" s="23"/>
    </row>
    <row r="134" spans="1:22" x14ac:dyDescent="0.3">
      <c r="A134" s="31"/>
      <c r="C134" s="51"/>
      <c r="D134" s="31"/>
      <c r="H134" s="23"/>
      <c r="I134" s="23"/>
      <c r="J134" s="39"/>
      <c r="K134" s="40"/>
      <c r="L134" s="40"/>
      <c r="M134" s="23"/>
      <c r="N134" s="23"/>
      <c r="Q134" s="41"/>
      <c r="R134" s="25"/>
      <c r="S134" s="23"/>
      <c r="T134" s="23"/>
      <c r="U134" s="23"/>
      <c r="V134" s="23"/>
    </row>
    <row r="135" spans="1:22" x14ac:dyDescent="0.3">
      <c r="A135" s="31"/>
      <c r="C135" s="51"/>
      <c r="D135" s="31"/>
      <c r="H135" s="23"/>
      <c r="I135" s="23"/>
      <c r="J135" s="39"/>
      <c r="K135" s="40"/>
      <c r="L135" s="40"/>
      <c r="M135" s="23"/>
      <c r="N135" s="23"/>
      <c r="P135" s="23"/>
      <c r="Q135" s="23"/>
      <c r="R135" s="25"/>
      <c r="S135" s="23"/>
      <c r="T135" s="23"/>
      <c r="U135" s="23"/>
      <c r="V135" s="23"/>
    </row>
    <row r="136" spans="1:22" x14ac:dyDescent="0.3">
      <c r="A136" s="31"/>
      <c r="C136" s="51"/>
      <c r="D136" s="31"/>
      <c r="H136" s="23"/>
      <c r="I136" s="23"/>
      <c r="J136" s="39"/>
      <c r="K136" s="40"/>
      <c r="L136" s="40"/>
      <c r="M136" s="23"/>
      <c r="N136" s="23"/>
      <c r="P136" s="23"/>
      <c r="Q136" s="23"/>
      <c r="R136" s="25"/>
      <c r="S136" s="23"/>
      <c r="T136" s="23"/>
      <c r="U136" s="23"/>
      <c r="V136" s="23"/>
    </row>
    <row r="137" spans="1:22" x14ac:dyDescent="0.3">
      <c r="A137" s="31"/>
      <c r="C137" s="51"/>
      <c r="D137" s="31"/>
      <c r="H137" s="23"/>
      <c r="I137" s="23"/>
      <c r="J137" s="39"/>
      <c r="K137" s="40"/>
      <c r="L137" s="40"/>
      <c r="M137" s="23"/>
      <c r="N137" s="23"/>
      <c r="P137" s="23"/>
      <c r="Q137" s="23"/>
      <c r="R137" s="25"/>
      <c r="S137" s="23"/>
      <c r="T137" s="23"/>
      <c r="U137" s="23"/>
      <c r="V137" s="23"/>
    </row>
    <row r="138" spans="1:22" x14ac:dyDescent="0.3">
      <c r="A138" s="31"/>
      <c r="C138" s="51"/>
      <c r="D138" s="31"/>
      <c r="H138" s="23"/>
      <c r="I138" s="23"/>
      <c r="J138" s="39"/>
      <c r="K138" s="40"/>
      <c r="L138" s="40"/>
      <c r="M138" s="23"/>
      <c r="N138" s="23"/>
      <c r="P138" s="23"/>
      <c r="Q138" s="23"/>
      <c r="R138" s="25"/>
      <c r="S138" s="23"/>
      <c r="T138" s="23"/>
      <c r="U138" s="23"/>
      <c r="V138" s="23"/>
    </row>
    <row r="139" spans="1:22" x14ac:dyDescent="0.3">
      <c r="A139" s="31"/>
      <c r="C139" s="51"/>
      <c r="D139" s="31"/>
      <c r="H139" s="23"/>
      <c r="I139" s="23"/>
      <c r="J139" s="39"/>
      <c r="K139" s="40"/>
      <c r="L139" s="40"/>
      <c r="M139" s="23"/>
      <c r="N139" s="23"/>
      <c r="P139" s="23"/>
      <c r="Q139" s="23"/>
      <c r="R139" s="25"/>
      <c r="S139" s="23"/>
      <c r="T139" s="23"/>
      <c r="U139" s="23"/>
      <c r="V139" s="23"/>
    </row>
    <row r="140" spans="1:22" x14ac:dyDescent="0.3">
      <c r="A140" s="31"/>
      <c r="C140" s="51"/>
      <c r="D140" s="31"/>
      <c r="H140" s="23"/>
      <c r="I140" s="23"/>
      <c r="J140" s="39"/>
      <c r="K140" s="40"/>
      <c r="L140" s="40"/>
      <c r="M140" s="23"/>
      <c r="N140" s="23"/>
      <c r="P140" s="23"/>
      <c r="Q140" s="23"/>
      <c r="R140" s="25"/>
      <c r="S140" s="23"/>
      <c r="T140" s="23"/>
      <c r="U140" s="23"/>
      <c r="V140" s="23"/>
    </row>
    <row r="141" spans="1:22" x14ac:dyDescent="0.3">
      <c r="A141" s="31"/>
      <c r="C141" s="51"/>
      <c r="D141" s="31"/>
      <c r="H141" s="23"/>
      <c r="I141" s="23"/>
      <c r="J141" s="39"/>
      <c r="K141" s="40"/>
      <c r="L141" s="40"/>
      <c r="M141" s="23"/>
      <c r="N141" s="23"/>
      <c r="P141" s="23"/>
      <c r="Q141" s="23"/>
      <c r="R141" s="25"/>
      <c r="S141" s="23"/>
      <c r="T141" s="23"/>
      <c r="U141" s="23"/>
      <c r="V141" s="23"/>
    </row>
    <row r="142" spans="1:22" x14ac:dyDescent="0.3">
      <c r="A142" s="31"/>
      <c r="C142" s="51"/>
      <c r="D142" s="31"/>
      <c r="H142" s="23"/>
      <c r="I142" s="23"/>
      <c r="J142" s="39"/>
      <c r="K142" s="40"/>
      <c r="L142" s="40"/>
      <c r="M142" s="23"/>
      <c r="N142" s="23"/>
      <c r="P142" s="23"/>
      <c r="Q142" s="23"/>
      <c r="R142" s="25"/>
      <c r="S142" s="23"/>
      <c r="T142" s="23"/>
      <c r="U142" s="23"/>
      <c r="V142" s="23"/>
    </row>
    <row r="143" spans="1:22" x14ac:dyDescent="0.3">
      <c r="A143" s="31"/>
      <c r="C143" s="51"/>
      <c r="D143" s="31"/>
      <c r="H143" s="23"/>
      <c r="I143" s="23"/>
      <c r="J143" s="39"/>
      <c r="K143" s="40"/>
      <c r="L143" s="40"/>
      <c r="M143" s="23"/>
      <c r="N143" s="23"/>
      <c r="P143" s="23"/>
      <c r="Q143" s="23"/>
      <c r="R143" s="25"/>
      <c r="S143" s="23"/>
      <c r="T143" s="23"/>
      <c r="U143" s="23"/>
      <c r="V143" s="23"/>
    </row>
    <row r="144" spans="1:22" x14ac:dyDescent="0.3">
      <c r="A144" s="31"/>
      <c r="C144" s="51"/>
      <c r="D144" s="31"/>
      <c r="H144" s="23"/>
      <c r="I144" s="23"/>
      <c r="J144" s="39"/>
      <c r="K144" s="40"/>
      <c r="L144" s="40"/>
      <c r="M144" s="23"/>
      <c r="N144" s="23"/>
      <c r="P144" s="23"/>
      <c r="Q144" s="23"/>
      <c r="R144" s="25"/>
      <c r="S144" s="23"/>
      <c r="T144" s="23"/>
      <c r="U144" s="23"/>
      <c r="V144" s="23"/>
    </row>
    <row r="145" spans="1:27" x14ac:dyDescent="0.3">
      <c r="A145" s="31"/>
      <c r="C145" s="51"/>
      <c r="D145" s="31"/>
      <c r="H145" s="23"/>
      <c r="I145" s="23"/>
      <c r="J145" s="39"/>
      <c r="K145" s="40"/>
      <c r="L145" s="40"/>
      <c r="M145" s="23"/>
      <c r="N145" s="23"/>
      <c r="P145" s="23"/>
      <c r="Q145" s="23"/>
      <c r="R145" s="25"/>
      <c r="S145" s="23"/>
      <c r="T145" s="23"/>
      <c r="U145" s="23"/>
      <c r="V145" s="23"/>
    </row>
    <row r="146" spans="1:27" x14ac:dyDescent="0.3">
      <c r="A146" s="31"/>
      <c r="C146" s="51"/>
      <c r="D146" s="31"/>
      <c r="H146" s="23"/>
      <c r="I146" s="23"/>
      <c r="J146" s="39"/>
      <c r="K146" s="40"/>
      <c r="L146" s="40"/>
      <c r="M146" s="23"/>
      <c r="N146" s="23"/>
      <c r="P146" s="23"/>
      <c r="Q146" s="23"/>
      <c r="R146" s="25"/>
      <c r="S146" s="23"/>
      <c r="T146" s="23"/>
      <c r="U146" s="23"/>
      <c r="V146" s="23"/>
    </row>
    <row r="147" spans="1:27" x14ac:dyDescent="0.3">
      <c r="A147" s="31"/>
      <c r="C147" s="51"/>
      <c r="D147" s="31"/>
      <c r="H147" s="23"/>
      <c r="I147" s="23"/>
      <c r="J147" s="39"/>
      <c r="K147" s="40"/>
      <c r="L147" s="40"/>
      <c r="M147" s="23"/>
      <c r="N147" s="23"/>
      <c r="P147" s="23"/>
      <c r="Q147" s="23"/>
      <c r="R147" s="25"/>
      <c r="S147" s="23"/>
      <c r="T147" s="23"/>
      <c r="U147" s="23"/>
      <c r="V147" s="23"/>
    </row>
    <row r="148" spans="1:27" s="52" customFormat="1" ht="13.8" x14ac:dyDescent="0.3">
      <c r="A148" s="31"/>
      <c r="B148" s="50"/>
      <c r="C148" s="51"/>
      <c r="D148" s="31"/>
      <c r="E148" s="38"/>
      <c r="F148" s="38"/>
      <c r="G148" s="38"/>
      <c r="H148" s="23"/>
      <c r="I148" s="23"/>
      <c r="J148" s="39"/>
      <c r="K148" s="40"/>
      <c r="L148" s="40"/>
      <c r="M148" s="23"/>
      <c r="N148" s="23"/>
      <c r="O148" s="41"/>
      <c r="P148" s="23"/>
      <c r="Q148" s="23"/>
      <c r="R148" s="25"/>
      <c r="S148" s="23"/>
      <c r="T148" s="23"/>
      <c r="U148" s="23"/>
      <c r="V148" s="23"/>
      <c r="W148" s="41"/>
      <c r="X148" s="24"/>
      <c r="Y148" s="24"/>
      <c r="Z148" s="24"/>
      <c r="AA148" s="24"/>
    </row>
    <row r="149" spans="1:27" s="52" customFormat="1" ht="13.8" x14ac:dyDescent="0.3">
      <c r="A149" s="31"/>
      <c r="B149" s="50"/>
      <c r="C149" s="51"/>
      <c r="D149" s="31"/>
      <c r="E149" s="38"/>
      <c r="F149" s="38"/>
      <c r="G149" s="38"/>
      <c r="H149" s="23"/>
      <c r="I149" s="23"/>
      <c r="J149" s="39"/>
      <c r="K149" s="40"/>
      <c r="L149" s="40"/>
      <c r="M149" s="23"/>
      <c r="N149" s="23"/>
      <c r="O149" s="41"/>
      <c r="P149" s="23"/>
      <c r="Q149" s="23"/>
      <c r="R149" s="25"/>
      <c r="S149" s="23"/>
      <c r="T149" s="23"/>
      <c r="U149" s="23"/>
      <c r="V149" s="23"/>
      <c r="W149" s="41"/>
      <c r="X149" s="24"/>
      <c r="Y149" s="24"/>
      <c r="Z149" s="24"/>
      <c r="AA149" s="24"/>
    </row>
    <row r="150" spans="1:27" s="52" customFormat="1" ht="13.8" x14ac:dyDescent="0.3">
      <c r="A150" s="31"/>
      <c r="B150" s="50"/>
      <c r="C150" s="51"/>
      <c r="D150" s="31"/>
      <c r="E150" s="38"/>
      <c r="F150" s="38"/>
      <c r="G150" s="38"/>
      <c r="H150" s="23"/>
      <c r="I150" s="23"/>
      <c r="J150" s="39"/>
      <c r="K150" s="40"/>
      <c r="L150" s="40"/>
      <c r="M150" s="23"/>
      <c r="N150" s="23"/>
      <c r="O150" s="41"/>
      <c r="P150" s="23"/>
      <c r="Q150" s="23"/>
      <c r="R150" s="25"/>
      <c r="S150" s="23"/>
      <c r="T150" s="23"/>
      <c r="U150" s="23"/>
      <c r="V150" s="23"/>
      <c r="W150" s="41"/>
      <c r="X150" s="24"/>
      <c r="Y150" s="24"/>
      <c r="Z150" s="24"/>
      <c r="AA150" s="24"/>
    </row>
    <row r="151" spans="1:27" s="52" customFormat="1" ht="13.8" x14ac:dyDescent="0.3">
      <c r="A151" s="31"/>
      <c r="B151" s="50"/>
      <c r="C151" s="51"/>
      <c r="D151" s="31"/>
      <c r="E151" s="38"/>
      <c r="F151" s="38"/>
      <c r="G151" s="38"/>
      <c r="H151" s="23"/>
      <c r="I151" s="23"/>
      <c r="J151" s="39"/>
      <c r="K151" s="40"/>
      <c r="L151" s="40"/>
      <c r="M151" s="23"/>
      <c r="N151" s="23"/>
      <c r="O151" s="41"/>
      <c r="P151" s="23"/>
      <c r="Q151" s="23"/>
      <c r="R151" s="25"/>
      <c r="S151" s="23"/>
      <c r="T151" s="23"/>
      <c r="U151" s="23"/>
      <c r="V151" s="23"/>
      <c r="W151" s="41"/>
      <c r="X151" s="24"/>
      <c r="Y151" s="24"/>
      <c r="Z151" s="24"/>
      <c r="AA151" s="24"/>
    </row>
    <row r="152" spans="1:27" s="52" customFormat="1" ht="13.8" x14ac:dyDescent="0.3">
      <c r="A152" s="31"/>
      <c r="B152" s="50"/>
      <c r="C152" s="51"/>
      <c r="D152" s="31"/>
      <c r="E152" s="38"/>
      <c r="F152" s="38"/>
      <c r="G152" s="38"/>
      <c r="H152" s="23"/>
      <c r="I152" s="23"/>
      <c r="J152" s="39"/>
      <c r="K152" s="40"/>
      <c r="L152" s="40"/>
      <c r="M152" s="23"/>
      <c r="N152" s="23"/>
      <c r="O152" s="41"/>
      <c r="P152" s="23"/>
      <c r="Q152" s="23"/>
      <c r="R152" s="25"/>
      <c r="S152" s="23"/>
      <c r="T152" s="23"/>
      <c r="U152" s="23"/>
      <c r="V152" s="23"/>
      <c r="W152" s="41"/>
      <c r="X152" s="24"/>
      <c r="Y152" s="24"/>
      <c r="Z152" s="24"/>
      <c r="AA152" s="24"/>
    </row>
    <row r="153" spans="1:27" s="52" customFormat="1" ht="13.8" x14ac:dyDescent="0.3">
      <c r="A153" s="31"/>
      <c r="B153" s="50"/>
      <c r="C153" s="51"/>
      <c r="D153" s="31"/>
      <c r="E153" s="38"/>
      <c r="F153" s="38"/>
      <c r="G153" s="38"/>
      <c r="H153" s="23"/>
      <c r="I153" s="23"/>
      <c r="J153" s="39"/>
      <c r="K153" s="40"/>
      <c r="L153" s="40"/>
      <c r="M153" s="23"/>
      <c r="N153" s="23"/>
      <c r="O153" s="41"/>
      <c r="P153" s="23"/>
      <c r="Q153" s="23"/>
      <c r="R153" s="25"/>
      <c r="S153" s="23"/>
      <c r="T153" s="23"/>
      <c r="U153" s="23"/>
      <c r="V153" s="23"/>
      <c r="W153" s="41"/>
      <c r="X153" s="24"/>
      <c r="Y153" s="24"/>
      <c r="Z153" s="24"/>
      <c r="AA153" s="24"/>
    </row>
    <row r="154" spans="1:27" s="52" customFormat="1" ht="13.8" x14ac:dyDescent="0.3">
      <c r="A154" s="31"/>
      <c r="B154" s="50"/>
      <c r="C154" s="51"/>
      <c r="D154" s="31"/>
      <c r="E154" s="38"/>
      <c r="F154" s="38"/>
      <c r="G154" s="38"/>
      <c r="H154" s="23"/>
      <c r="I154" s="23"/>
      <c r="J154" s="39"/>
      <c r="K154" s="40"/>
      <c r="L154" s="40"/>
      <c r="M154" s="23"/>
      <c r="N154" s="23"/>
      <c r="O154" s="41"/>
      <c r="P154" s="23"/>
      <c r="Q154" s="23"/>
      <c r="R154" s="25"/>
      <c r="S154" s="23"/>
      <c r="T154" s="23"/>
      <c r="U154" s="23"/>
      <c r="V154" s="23"/>
      <c r="W154" s="41"/>
      <c r="X154" s="24"/>
      <c r="Y154" s="24"/>
      <c r="Z154" s="24"/>
      <c r="AA154" s="24"/>
    </row>
    <row r="155" spans="1:27" s="52" customFormat="1" ht="13.8" x14ac:dyDescent="0.3">
      <c r="A155" s="31"/>
      <c r="B155" s="50"/>
      <c r="C155" s="51"/>
      <c r="D155" s="31"/>
      <c r="E155" s="38"/>
      <c r="F155" s="38"/>
      <c r="G155" s="23"/>
      <c r="H155" s="23"/>
      <c r="I155" s="23"/>
      <c r="J155" s="39"/>
      <c r="K155" s="40"/>
      <c r="L155" s="40"/>
      <c r="M155" s="23"/>
      <c r="N155" s="23"/>
      <c r="O155" s="23"/>
      <c r="P155" s="41"/>
      <c r="Q155" s="41"/>
      <c r="R155" s="25"/>
      <c r="S155" s="23"/>
      <c r="T155" s="23"/>
      <c r="U155" s="23"/>
      <c r="V155" s="23"/>
      <c r="W155" s="41"/>
      <c r="X155" s="24"/>
      <c r="Y155" s="24"/>
      <c r="Z155" s="24"/>
      <c r="AA155" s="24"/>
    </row>
    <row r="156" spans="1:27" s="52" customFormat="1" ht="13.8" x14ac:dyDescent="0.3">
      <c r="A156" s="31"/>
      <c r="B156" s="50"/>
      <c r="C156" s="51"/>
      <c r="D156" s="31"/>
      <c r="E156" s="38"/>
      <c r="F156" s="38"/>
      <c r="G156" s="23"/>
      <c r="H156" s="23"/>
      <c r="I156" s="23"/>
      <c r="J156" s="39"/>
      <c r="K156" s="40"/>
      <c r="L156" s="40"/>
      <c r="M156" s="23"/>
      <c r="N156" s="23"/>
      <c r="O156" s="23"/>
      <c r="P156" s="41"/>
      <c r="Q156" s="41"/>
      <c r="R156" s="25"/>
      <c r="S156" s="23"/>
      <c r="T156" s="23"/>
      <c r="U156" s="23"/>
      <c r="V156" s="23"/>
      <c r="W156" s="41"/>
      <c r="X156" s="24"/>
      <c r="Y156" s="24"/>
      <c r="Z156" s="24"/>
      <c r="AA156" s="24"/>
    </row>
    <row r="157" spans="1:27" s="52" customFormat="1" ht="13.8" x14ac:dyDescent="0.3">
      <c r="A157" s="31"/>
      <c r="B157" s="50"/>
      <c r="C157" s="51"/>
      <c r="D157" s="31"/>
      <c r="E157" s="38"/>
      <c r="F157" s="38"/>
      <c r="G157" s="23"/>
      <c r="H157" s="23"/>
      <c r="I157" s="23"/>
      <c r="J157" s="39"/>
      <c r="K157" s="40"/>
      <c r="L157" s="40"/>
      <c r="M157" s="23"/>
      <c r="N157" s="23"/>
      <c r="O157" s="23"/>
      <c r="P157" s="41"/>
      <c r="Q157" s="41"/>
      <c r="R157" s="25"/>
      <c r="S157" s="23"/>
      <c r="T157" s="23"/>
      <c r="U157" s="23"/>
      <c r="V157" s="23"/>
      <c r="W157" s="41"/>
      <c r="X157" s="24"/>
      <c r="Y157" s="24"/>
      <c r="Z157" s="24"/>
      <c r="AA157" s="24"/>
    </row>
    <row r="158" spans="1:27" s="52" customFormat="1" ht="13.8" x14ac:dyDescent="0.3">
      <c r="A158" s="31"/>
      <c r="B158" s="50"/>
      <c r="C158" s="51"/>
      <c r="D158" s="31"/>
      <c r="E158" s="38"/>
      <c r="F158" s="38"/>
      <c r="G158" s="23"/>
      <c r="H158" s="23"/>
      <c r="I158" s="23"/>
      <c r="J158" s="39"/>
      <c r="K158" s="40"/>
      <c r="L158" s="40"/>
      <c r="M158" s="23"/>
      <c r="N158" s="23"/>
      <c r="O158" s="23"/>
      <c r="P158" s="41"/>
      <c r="Q158" s="41"/>
      <c r="R158" s="25"/>
      <c r="S158" s="23"/>
      <c r="T158" s="23"/>
      <c r="U158" s="23"/>
      <c r="V158" s="23"/>
      <c r="W158" s="41"/>
      <c r="X158" s="24"/>
      <c r="Y158" s="24"/>
      <c r="Z158" s="24"/>
      <c r="AA158" s="24"/>
    </row>
    <row r="159" spans="1:27" s="52" customFormat="1" ht="13.8" x14ac:dyDescent="0.3">
      <c r="A159" s="31"/>
      <c r="B159" s="50"/>
      <c r="C159" s="51"/>
      <c r="D159" s="31"/>
      <c r="E159" s="38"/>
      <c r="F159" s="38"/>
      <c r="G159" s="23"/>
      <c r="H159" s="23"/>
      <c r="I159" s="23"/>
      <c r="J159" s="39"/>
      <c r="K159" s="40"/>
      <c r="L159" s="40"/>
      <c r="M159" s="23"/>
      <c r="N159" s="23"/>
      <c r="O159" s="23"/>
      <c r="P159" s="41"/>
      <c r="Q159" s="41"/>
      <c r="R159" s="25"/>
      <c r="S159" s="23"/>
      <c r="T159" s="23"/>
      <c r="U159" s="23"/>
      <c r="V159" s="23"/>
      <c r="W159" s="41"/>
      <c r="X159" s="24"/>
      <c r="Y159" s="24"/>
      <c r="Z159" s="24"/>
      <c r="AA159" s="24"/>
    </row>
    <row r="160" spans="1:27" s="52" customFormat="1" ht="13.8" x14ac:dyDescent="0.3">
      <c r="A160" s="31"/>
      <c r="B160" s="50"/>
      <c r="C160" s="51"/>
      <c r="D160" s="31"/>
      <c r="E160" s="38"/>
      <c r="F160" s="38"/>
      <c r="G160" s="23"/>
      <c r="H160" s="23"/>
      <c r="I160" s="23"/>
      <c r="J160" s="39"/>
      <c r="K160" s="40"/>
      <c r="L160" s="40"/>
      <c r="M160" s="23"/>
      <c r="N160" s="23"/>
      <c r="O160" s="23"/>
      <c r="P160" s="41"/>
      <c r="Q160" s="41"/>
      <c r="R160" s="25"/>
      <c r="S160" s="23"/>
      <c r="T160" s="23"/>
      <c r="U160" s="23"/>
      <c r="V160" s="23"/>
      <c r="W160" s="41"/>
      <c r="X160" s="24"/>
      <c r="Y160" s="24"/>
      <c r="Z160" s="24"/>
      <c r="AA160" s="24"/>
    </row>
    <row r="161" spans="1:27" s="52" customFormat="1" ht="13.8" x14ac:dyDescent="0.3">
      <c r="A161" s="31"/>
      <c r="B161" s="50"/>
      <c r="C161" s="51"/>
      <c r="D161" s="31"/>
      <c r="E161" s="38"/>
      <c r="F161" s="38"/>
      <c r="G161" s="23"/>
      <c r="H161" s="23"/>
      <c r="I161" s="23"/>
      <c r="J161" s="39"/>
      <c r="K161" s="40"/>
      <c r="L161" s="40"/>
      <c r="M161" s="23"/>
      <c r="N161" s="23"/>
      <c r="O161" s="23"/>
      <c r="P161" s="41"/>
      <c r="Q161" s="41"/>
      <c r="R161" s="25"/>
      <c r="S161" s="23"/>
      <c r="T161" s="23"/>
      <c r="U161" s="23"/>
      <c r="V161" s="23"/>
      <c r="W161" s="41"/>
      <c r="X161" s="24"/>
      <c r="Y161" s="24"/>
      <c r="Z161" s="24"/>
      <c r="AA161" s="24"/>
    </row>
    <row r="162" spans="1:27" s="52" customFormat="1" ht="13.8" x14ac:dyDescent="0.3">
      <c r="A162" s="31"/>
      <c r="B162" s="50"/>
      <c r="C162" s="51"/>
      <c r="D162" s="31"/>
      <c r="E162" s="38"/>
      <c r="F162" s="38"/>
      <c r="G162" s="23"/>
      <c r="H162" s="23"/>
      <c r="I162" s="23"/>
      <c r="J162" s="39"/>
      <c r="K162" s="40"/>
      <c r="L162" s="40"/>
      <c r="M162" s="23"/>
      <c r="N162" s="23"/>
      <c r="O162" s="41"/>
      <c r="P162" s="41"/>
      <c r="Q162" s="41"/>
      <c r="R162" s="25"/>
      <c r="S162" s="23"/>
      <c r="T162" s="23"/>
      <c r="U162" s="23"/>
      <c r="V162" s="23"/>
      <c r="W162" s="41"/>
      <c r="X162" s="24"/>
      <c r="Y162" s="24"/>
      <c r="Z162" s="24"/>
      <c r="AA162" s="24"/>
    </row>
    <row r="163" spans="1:27" s="52" customFormat="1" ht="13.8" x14ac:dyDescent="0.3">
      <c r="A163" s="31"/>
      <c r="B163" s="50"/>
      <c r="C163" s="51"/>
      <c r="D163" s="31"/>
      <c r="E163" s="38"/>
      <c r="F163" s="38"/>
      <c r="G163" s="23"/>
      <c r="H163" s="23"/>
      <c r="I163" s="23"/>
      <c r="J163" s="39"/>
      <c r="K163" s="40"/>
      <c r="L163" s="40"/>
      <c r="M163" s="23"/>
      <c r="N163" s="23"/>
      <c r="O163" s="41"/>
      <c r="P163" s="41"/>
      <c r="Q163" s="41"/>
      <c r="R163" s="25"/>
      <c r="S163" s="23"/>
      <c r="T163" s="23"/>
      <c r="U163" s="23"/>
      <c r="V163" s="23"/>
      <c r="W163" s="41"/>
      <c r="X163" s="24"/>
      <c r="Y163" s="24"/>
      <c r="Z163" s="24"/>
      <c r="AA163" s="24"/>
    </row>
    <row r="164" spans="1:27" s="52" customFormat="1" ht="13.8" x14ac:dyDescent="0.3">
      <c r="A164" s="31"/>
      <c r="B164" s="50"/>
      <c r="C164" s="51"/>
      <c r="D164" s="31"/>
      <c r="E164" s="38"/>
      <c r="F164" s="38"/>
      <c r="G164" s="23"/>
      <c r="H164" s="23"/>
      <c r="I164" s="23"/>
      <c r="J164" s="39"/>
      <c r="K164" s="40"/>
      <c r="L164" s="40"/>
      <c r="M164" s="23"/>
      <c r="N164" s="23"/>
      <c r="O164" s="41"/>
      <c r="P164" s="41"/>
      <c r="Q164" s="41"/>
      <c r="R164" s="25"/>
      <c r="S164" s="23"/>
      <c r="T164" s="23"/>
      <c r="U164" s="23"/>
      <c r="V164" s="23"/>
      <c r="W164" s="41"/>
      <c r="X164" s="24"/>
      <c r="Y164" s="24"/>
      <c r="Z164" s="24"/>
      <c r="AA164" s="24"/>
    </row>
    <row r="165" spans="1:27" s="52" customFormat="1" ht="13.8" x14ac:dyDescent="0.3">
      <c r="A165" s="31"/>
      <c r="B165" s="50"/>
      <c r="C165" s="51"/>
      <c r="D165" s="31"/>
      <c r="E165" s="38"/>
      <c r="F165" s="38"/>
      <c r="G165" s="38"/>
      <c r="H165" s="23"/>
      <c r="I165" s="23"/>
      <c r="J165" s="39"/>
      <c r="K165" s="40"/>
      <c r="L165" s="40"/>
      <c r="M165" s="23"/>
      <c r="N165" s="23"/>
      <c r="O165" s="41"/>
      <c r="P165" s="41"/>
      <c r="Q165" s="41"/>
      <c r="R165" s="25"/>
      <c r="S165" s="23"/>
      <c r="T165" s="23"/>
      <c r="U165" s="23"/>
      <c r="V165" s="23"/>
      <c r="W165" s="41"/>
      <c r="X165" s="24"/>
      <c r="Y165" s="24"/>
      <c r="Z165" s="24"/>
      <c r="AA165" s="24"/>
    </row>
    <row r="166" spans="1:27" s="52" customFormat="1" ht="13.8" x14ac:dyDescent="0.3">
      <c r="A166" s="31"/>
      <c r="B166" s="50"/>
      <c r="C166" s="51"/>
      <c r="D166" s="31"/>
      <c r="E166" s="38"/>
      <c r="F166" s="38"/>
      <c r="G166" s="38"/>
      <c r="H166" s="23"/>
      <c r="I166" s="23"/>
      <c r="J166" s="39"/>
      <c r="K166" s="40"/>
      <c r="L166" s="40"/>
      <c r="M166" s="23"/>
      <c r="N166" s="23"/>
      <c r="O166" s="41"/>
      <c r="P166" s="41"/>
      <c r="Q166" s="41"/>
      <c r="R166" s="25"/>
      <c r="S166" s="23"/>
      <c r="T166" s="23"/>
      <c r="U166" s="23"/>
      <c r="V166" s="23"/>
      <c r="W166" s="41"/>
      <c r="X166" s="24"/>
      <c r="Y166" s="24"/>
      <c r="Z166" s="24"/>
      <c r="AA166" s="24"/>
    </row>
    <row r="167" spans="1:27" s="52" customFormat="1" ht="13.8" x14ac:dyDescent="0.3">
      <c r="A167" s="31"/>
      <c r="B167" s="50"/>
      <c r="C167" s="51"/>
      <c r="D167" s="31"/>
      <c r="E167" s="38"/>
      <c r="F167" s="38"/>
      <c r="G167" s="38"/>
      <c r="H167" s="23"/>
      <c r="I167" s="23"/>
      <c r="J167" s="39"/>
      <c r="K167" s="40"/>
      <c r="L167" s="40"/>
      <c r="M167" s="23"/>
      <c r="N167" s="23"/>
      <c r="O167" s="41"/>
      <c r="P167" s="41"/>
      <c r="Q167" s="41"/>
      <c r="R167" s="25"/>
      <c r="S167" s="23"/>
      <c r="T167" s="23"/>
      <c r="U167" s="23"/>
      <c r="V167" s="23"/>
      <c r="W167" s="41"/>
      <c r="X167" s="24"/>
      <c r="Y167" s="24"/>
      <c r="Z167" s="24"/>
      <c r="AA167" s="24"/>
    </row>
    <row r="168" spans="1:27" s="52" customFormat="1" ht="13.8" x14ac:dyDescent="0.3">
      <c r="A168" s="31"/>
      <c r="B168" s="50"/>
      <c r="C168" s="51"/>
      <c r="D168" s="31"/>
      <c r="E168" s="38"/>
      <c r="F168" s="38"/>
      <c r="G168" s="38"/>
      <c r="H168" s="23"/>
      <c r="I168" s="23"/>
      <c r="J168" s="39"/>
      <c r="K168" s="40"/>
      <c r="L168" s="40"/>
      <c r="M168" s="23"/>
      <c r="N168" s="23"/>
      <c r="O168" s="41"/>
      <c r="P168" s="41"/>
      <c r="Q168" s="41"/>
      <c r="R168" s="25"/>
      <c r="S168" s="23"/>
      <c r="T168" s="23"/>
      <c r="U168" s="23"/>
      <c r="V168" s="23"/>
      <c r="W168" s="41"/>
      <c r="X168" s="24"/>
      <c r="Y168" s="24"/>
      <c r="Z168" s="24"/>
      <c r="AA168" s="24"/>
    </row>
    <row r="169" spans="1:27" s="52" customFormat="1" ht="13.8" x14ac:dyDescent="0.3">
      <c r="A169" s="31"/>
      <c r="B169" s="50"/>
      <c r="C169" s="51"/>
      <c r="D169" s="31"/>
      <c r="E169" s="38"/>
      <c r="F169" s="38"/>
      <c r="G169" s="38"/>
      <c r="H169" s="23"/>
      <c r="I169" s="23"/>
      <c r="J169" s="39"/>
      <c r="K169" s="40"/>
      <c r="L169" s="40"/>
      <c r="M169" s="23"/>
      <c r="N169" s="23"/>
      <c r="O169" s="41"/>
      <c r="P169" s="41"/>
      <c r="Q169" s="41"/>
      <c r="R169" s="25"/>
      <c r="S169" s="23"/>
      <c r="T169" s="23"/>
      <c r="U169" s="23"/>
      <c r="V169" s="23"/>
      <c r="W169" s="41"/>
      <c r="X169" s="24"/>
      <c r="Y169" s="24"/>
      <c r="Z169" s="24"/>
      <c r="AA169" s="24"/>
    </row>
    <row r="170" spans="1:27" s="52" customFormat="1" ht="13.8" x14ac:dyDescent="0.3">
      <c r="A170" s="31"/>
      <c r="B170" s="50"/>
      <c r="C170" s="51"/>
      <c r="D170" s="31"/>
      <c r="E170" s="38"/>
      <c r="F170" s="38"/>
      <c r="G170" s="38"/>
      <c r="H170" s="23"/>
      <c r="I170" s="23"/>
      <c r="J170" s="39"/>
      <c r="K170" s="40"/>
      <c r="L170" s="40"/>
      <c r="M170" s="23"/>
      <c r="N170" s="23"/>
      <c r="O170" s="41"/>
      <c r="P170" s="41"/>
      <c r="Q170" s="41"/>
      <c r="R170" s="25"/>
      <c r="S170" s="23"/>
      <c r="T170" s="23"/>
      <c r="U170" s="23"/>
      <c r="V170" s="23"/>
      <c r="W170" s="41"/>
      <c r="X170" s="24"/>
      <c r="Y170" s="24"/>
      <c r="Z170" s="24"/>
      <c r="AA170" s="24"/>
    </row>
    <row r="171" spans="1:27" s="52" customFormat="1" ht="13.8" x14ac:dyDescent="0.3">
      <c r="A171" s="31"/>
      <c r="B171" s="50"/>
      <c r="C171" s="51"/>
      <c r="D171" s="31"/>
      <c r="E171" s="38"/>
      <c r="F171" s="38"/>
      <c r="G171" s="23"/>
      <c r="H171" s="23"/>
      <c r="I171" s="23"/>
      <c r="J171" s="39"/>
      <c r="K171" s="40"/>
      <c r="L171" s="40"/>
      <c r="M171" s="23"/>
      <c r="N171" s="23"/>
      <c r="O171" s="41"/>
      <c r="P171" s="41"/>
      <c r="Q171" s="41"/>
      <c r="R171" s="25"/>
      <c r="S171" s="23"/>
      <c r="T171" s="23"/>
      <c r="U171" s="23"/>
      <c r="V171" s="23"/>
      <c r="W171" s="41"/>
      <c r="X171" s="24"/>
      <c r="Y171" s="24"/>
      <c r="Z171" s="24"/>
      <c r="AA171" s="24"/>
    </row>
    <row r="172" spans="1:27" s="52" customFormat="1" ht="13.8" x14ac:dyDescent="0.3">
      <c r="A172" s="31"/>
      <c r="B172" s="50"/>
      <c r="C172" s="51"/>
      <c r="D172" s="31"/>
      <c r="E172" s="38"/>
      <c r="F172" s="38"/>
      <c r="G172" s="23"/>
      <c r="H172" s="23"/>
      <c r="I172" s="23"/>
      <c r="J172" s="39"/>
      <c r="K172" s="40"/>
      <c r="L172" s="40"/>
      <c r="M172" s="23"/>
      <c r="N172" s="23"/>
      <c r="O172" s="41"/>
      <c r="P172" s="41"/>
      <c r="Q172" s="41"/>
      <c r="R172" s="25"/>
      <c r="S172" s="23"/>
      <c r="T172" s="23"/>
      <c r="U172" s="23"/>
      <c r="V172" s="23"/>
      <c r="W172" s="41"/>
      <c r="X172" s="24"/>
      <c r="Y172" s="24"/>
      <c r="Z172" s="24"/>
      <c r="AA172" s="24"/>
    </row>
    <row r="173" spans="1:27" s="52" customFormat="1" ht="13.8" x14ac:dyDescent="0.3">
      <c r="A173" s="31"/>
      <c r="B173" s="50"/>
      <c r="C173" s="51"/>
      <c r="D173" s="31"/>
      <c r="E173" s="38"/>
      <c r="F173" s="38"/>
      <c r="G173" s="23"/>
      <c r="H173" s="23"/>
      <c r="I173" s="23"/>
      <c r="J173" s="39"/>
      <c r="K173" s="40"/>
      <c r="L173" s="40"/>
      <c r="M173" s="23"/>
      <c r="N173" s="23"/>
      <c r="O173" s="41"/>
      <c r="P173" s="41"/>
      <c r="Q173" s="41"/>
      <c r="R173" s="25"/>
      <c r="S173" s="23"/>
      <c r="T173" s="23"/>
      <c r="U173" s="23"/>
      <c r="V173" s="23"/>
      <c r="W173" s="41"/>
      <c r="X173" s="24"/>
      <c r="Y173" s="24"/>
      <c r="Z173" s="24"/>
      <c r="AA173" s="24"/>
    </row>
    <row r="174" spans="1:27" s="52" customFormat="1" ht="13.8" x14ac:dyDescent="0.3">
      <c r="A174" s="31"/>
      <c r="B174" s="50"/>
      <c r="C174" s="51"/>
      <c r="D174" s="31"/>
      <c r="E174" s="38"/>
      <c r="F174" s="38"/>
      <c r="G174" s="38"/>
      <c r="H174" s="23"/>
      <c r="I174" s="23"/>
      <c r="J174" s="39"/>
      <c r="K174" s="40"/>
      <c r="L174" s="40"/>
      <c r="M174" s="23"/>
      <c r="N174" s="23"/>
      <c r="O174" s="41"/>
      <c r="P174" s="41"/>
      <c r="Q174" s="41"/>
      <c r="R174" s="25"/>
      <c r="S174" s="23"/>
      <c r="T174" s="23"/>
      <c r="U174" s="23"/>
      <c r="V174" s="23"/>
      <c r="W174" s="41"/>
      <c r="X174" s="24"/>
      <c r="Y174" s="24"/>
      <c r="Z174" s="24"/>
      <c r="AA174" s="24"/>
    </row>
    <row r="175" spans="1:27" s="53" customFormat="1" ht="13.8" x14ac:dyDescent="0.3">
      <c r="A175" s="31"/>
      <c r="B175" s="50"/>
      <c r="C175" s="51"/>
      <c r="D175" s="31"/>
      <c r="E175" s="38"/>
      <c r="F175" s="38"/>
      <c r="G175" s="38"/>
      <c r="H175" s="23"/>
      <c r="I175" s="23"/>
      <c r="J175" s="39"/>
      <c r="K175" s="40"/>
      <c r="L175" s="40"/>
      <c r="M175" s="23"/>
      <c r="N175" s="23"/>
      <c r="O175" s="41"/>
      <c r="P175" s="41"/>
      <c r="Q175" s="41"/>
      <c r="R175" s="25"/>
      <c r="S175" s="23"/>
      <c r="T175" s="23"/>
      <c r="U175" s="23"/>
      <c r="V175" s="23"/>
      <c r="W175" s="41"/>
      <c r="X175" s="24"/>
      <c r="Y175" s="24"/>
      <c r="Z175" s="24"/>
      <c r="AA175" s="24"/>
    </row>
    <row r="176" spans="1:27" s="53" customFormat="1" ht="13.8" x14ac:dyDescent="0.3">
      <c r="A176" s="31"/>
      <c r="B176" s="50"/>
      <c r="C176" s="51"/>
      <c r="D176" s="31"/>
      <c r="E176" s="38"/>
      <c r="F176" s="38"/>
      <c r="G176" s="38"/>
      <c r="H176" s="23"/>
      <c r="I176" s="23"/>
      <c r="J176" s="39"/>
      <c r="K176" s="40"/>
      <c r="L176" s="40"/>
      <c r="M176" s="23"/>
      <c r="N176" s="23"/>
      <c r="O176" s="24"/>
      <c r="P176" s="41"/>
      <c r="Q176" s="41"/>
      <c r="R176" s="25"/>
      <c r="S176" s="23"/>
      <c r="T176" s="23"/>
      <c r="U176" s="23"/>
      <c r="V176" s="23"/>
      <c r="W176" s="41"/>
      <c r="X176" s="24"/>
      <c r="Y176" s="24"/>
      <c r="Z176" s="24"/>
      <c r="AA176" s="24"/>
    </row>
    <row r="177" spans="1:27" s="53" customFormat="1" ht="13.8" x14ac:dyDescent="0.3">
      <c r="A177" s="31"/>
      <c r="B177" s="50"/>
      <c r="C177" s="51"/>
      <c r="D177" s="31"/>
      <c r="E177" s="38"/>
      <c r="F177" s="38"/>
      <c r="G177" s="38"/>
      <c r="H177" s="23"/>
      <c r="I177" s="23"/>
      <c r="J177" s="39"/>
      <c r="K177" s="40"/>
      <c r="L177" s="40"/>
      <c r="M177" s="23"/>
      <c r="N177" s="23"/>
      <c r="O177" s="24"/>
      <c r="P177" s="41"/>
      <c r="Q177" s="41"/>
      <c r="R177" s="25"/>
      <c r="S177" s="23"/>
      <c r="T177" s="23"/>
      <c r="U177" s="23"/>
      <c r="V177" s="23"/>
      <c r="W177" s="41"/>
      <c r="X177" s="24"/>
      <c r="Y177" s="24"/>
      <c r="Z177" s="24"/>
      <c r="AA177" s="24"/>
    </row>
    <row r="178" spans="1:27" s="52" customFormat="1" ht="13.8" x14ac:dyDescent="0.3">
      <c r="A178" s="31"/>
      <c r="B178" s="50"/>
      <c r="C178" s="51"/>
      <c r="D178" s="31"/>
      <c r="E178" s="38"/>
      <c r="F178" s="38"/>
      <c r="G178" s="38"/>
      <c r="H178" s="23"/>
      <c r="I178" s="23"/>
      <c r="J178" s="39"/>
      <c r="K178" s="40"/>
      <c r="L178" s="40"/>
      <c r="M178" s="23"/>
      <c r="N178" s="23"/>
      <c r="O178" s="41"/>
      <c r="P178" s="41"/>
      <c r="Q178" s="41"/>
      <c r="R178" s="25"/>
      <c r="S178" s="23"/>
      <c r="T178" s="23"/>
      <c r="U178" s="23"/>
      <c r="V178" s="23"/>
      <c r="W178" s="41"/>
      <c r="X178" s="24"/>
      <c r="Y178" s="24"/>
      <c r="Z178" s="24"/>
      <c r="AA178" s="24"/>
    </row>
    <row r="179" spans="1:27" s="53" customFormat="1" ht="13.8" x14ac:dyDescent="0.3">
      <c r="A179" s="31"/>
      <c r="B179" s="50"/>
      <c r="C179" s="51"/>
      <c r="D179" s="31"/>
      <c r="E179" s="38"/>
      <c r="F179" s="38"/>
      <c r="G179" s="38"/>
      <c r="H179" s="23"/>
      <c r="I179" s="23"/>
      <c r="J179" s="39"/>
      <c r="K179" s="40"/>
      <c r="L179" s="40"/>
      <c r="M179" s="23"/>
      <c r="N179" s="23"/>
      <c r="O179" s="41"/>
      <c r="P179" s="41"/>
      <c r="Q179" s="41"/>
      <c r="R179" s="25"/>
      <c r="S179" s="23"/>
      <c r="T179" s="23"/>
      <c r="U179" s="23"/>
      <c r="V179" s="23"/>
      <c r="W179" s="41"/>
      <c r="X179" s="24"/>
      <c r="Y179" s="24"/>
      <c r="Z179" s="24"/>
      <c r="AA179" s="24"/>
    </row>
    <row r="180" spans="1:27" s="52" customFormat="1" ht="13.8" x14ac:dyDescent="0.3">
      <c r="A180" s="31"/>
      <c r="B180" s="50"/>
      <c r="C180" s="51"/>
      <c r="D180" s="31"/>
      <c r="E180" s="38"/>
      <c r="F180" s="38"/>
      <c r="G180" s="38"/>
      <c r="H180" s="23"/>
      <c r="I180" s="23"/>
      <c r="J180" s="39"/>
      <c r="K180" s="40"/>
      <c r="L180" s="40"/>
      <c r="M180" s="23"/>
      <c r="N180" s="23"/>
      <c r="O180" s="41"/>
      <c r="P180" s="41"/>
      <c r="Q180" s="41"/>
      <c r="R180" s="25"/>
      <c r="S180" s="23"/>
      <c r="T180" s="23"/>
      <c r="U180" s="23"/>
      <c r="V180" s="23"/>
      <c r="W180" s="41"/>
      <c r="X180" s="24"/>
      <c r="Y180" s="24"/>
      <c r="Z180" s="24"/>
      <c r="AA180" s="24"/>
    </row>
    <row r="181" spans="1:27" s="52" customFormat="1" ht="13.8" x14ac:dyDescent="0.3">
      <c r="A181" s="31"/>
      <c r="B181" s="50"/>
      <c r="C181" s="51"/>
      <c r="D181" s="31"/>
      <c r="E181" s="38"/>
      <c r="F181" s="38"/>
      <c r="G181" s="38"/>
      <c r="H181" s="23"/>
      <c r="I181" s="23"/>
      <c r="J181" s="39"/>
      <c r="K181" s="40"/>
      <c r="L181" s="40"/>
      <c r="M181" s="23"/>
      <c r="N181" s="23"/>
      <c r="O181" s="41"/>
      <c r="P181" s="23"/>
      <c r="Q181" s="23"/>
      <c r="R181" s="25"/>
      <c r="S181" s="23"/>
      <c r="T181" s="23"/>
      <c r="U181" s="23"/>
      <c r="V181" s="23"/>
      <c r="W181" s="41"/>
      <c r="X181" s="24"/>
      <c r="Y181" s="24"/>
      <c r="Z181" s="24"/>
      <c r="AA181" s="24"/>
    </row>
    <row r="182" spans="1:27" s="52" customFormat="1" ht="13.8" x14ac:dyDescent="0.3">
      <c r="A182" s="31"/>
      <c r="B182" s="50"/>
      <c r="C182" s="51"/>
      <c r="D182" s="31"/>
      <c r="E182" s="38"/>
      <c r="F182" s="38"/>
      <c r="G182" s="38"/>
      <c r="H182" s="23"/>
      <c r="I182" s="23"/>
      <c r="J182" s="39"/>
      <c r="K182" s="40"/>
      <c r="L182" s="40"/>
      <c r="M182" s="23"/>
      <c r="N182" s="23"/>
      <c r="O182" s="41"/>
      <c r="P182" s="23"/>
      <c r="Q182" s="23"/>
      <c r="R182" s="25"/>
      <c r="S182" s="23"/>
      <c r="T182" s="23"/>
      <c r="U182" s="23"/>
      <c r="V182" s="23"/>
      <c r="W182" s="41"/>
      <c r="X182" s="24"/>
      <c r="Y182" s="24"/>
      <c r="Z182" s="24"/>
      <c r="AA182" s="24"/>
    </row>
    <row r="183" spans="1:27" s="52" customFormat="1" ht="13.8" x14ac:dyDescent="0.3">
      <c r="A183" s="31"/>
      <c r="B183" s="50"/>
      <c r="C183" s="51"/>
      <c r="D183" s="31"/>
      <c r="E183" s="38"/>
      <c r="F183" s="38"/>
      <c r="G183" s="38"/>
      <c r="H183" s="23"/>
      <c r="I183" s="23"/>
      <c r="J183" s="39"/>
      <c r="K183" s="40"/>
      <c r="L183" s="40"/>
      <c r="M183" s="23"/>
      <c r="N183" s="23"/>
      <c r="O183" s="41"/>
      <c r="P183" s="23"/>
      <c r="Q183" s="23"/>
      <c r="R183" s="25"/>
      <c r="S183" s="23"/>
      <c r="T183" s="23"/>
      <c r="U183" s="23"/>
      <c r="V183" s="23"/>
      <c r="W183" s="41"/>
      <c r="X183" s="24"/>
      <c r="Y183" s="24"/>
      <c r="Z183" s="24"/>
      <c r="AA183" s="24"/>
    </row>
    <row r="184" spans="1:27" s="52" customFormat="1" ht="13.8" x14ac:dyDescent="0.3">
      <c r="A184" s="31"/>
      <c r="B184" s="50"/>
      <c r="C184" s="51"/>
      <c r="D184" s="31"/>
      <c r="E184" s="38"/>
      <c r="F184" s="38"/>
      <c r="G184" s="38"/>
      <c r="H184" s="23"/>
      <c r="I184" s="23"/>
      <c r="J184" s="39"/>
      <c r="K184" s="40"/>
      <c r="L184" s="40"/>
      <c r="M184" s="23"/>
      <c r="N184" s="23"/>
      <c r="O184" s="41"/>
      <c r="P184" s="23"/>
      <c r="Q184" s="23"/>
      <c r="R184" s="25"/>
      <c r="S184" s="23"/>
      <c r="T184" s="23"/>
      <c r="U184" s="23"/>
      <c r="V184" s="23"/>
      <c r="W184" s="41"/>
      <c r="X184" s="24"/>
      <c r="Y184" s="24"/>
      <c r="Z184" s="24"/>
      <c r="AA184" s="24"/>
    </row>
    <row r="185" spans="1:27" s="52" customFormat="1" ht="13.8" x14ac:dyDescent="0.3">
      <c r="A185" s="31"/>
      <c r="B185" s="50"/>
      <c r="C185" s="51"/>
      <c r="D185" s="31"/>
      <c r="E185" s="38"/>
      <c r="F185" s="38"/>
      <c r="G185" s="38"/>
      <c r="H185" s="23"/>
      <c r="I185" s="23"/>
      <c r="J185" s="39"/>
      <c r="K185" s="40"/>
      <c r="L185" s="40"/>
      <c r="M185" s="23"/>
      <c r="N185" s="23"/>
      <c r="O185" s="41"/>
      <c r="P185" s="23"/>
      <c r="Q185" s="23"/>
      <c r="R185" s="25"/>
      <c r="S185" s="23"/>
      <c r="T185" s="23"/>
      <c r="U185" s="23"/>
      <c r="V185" s="23"/>
      <c r="W185" s="41"/>
      <c r="X185" s="24"/>
      <c r="Y185" s="24"/>
      <c r="Z185" s="24"/>
      <c r="AA185" s="24"/>
    </row>
    <row r="186" spans="1:27" s="52" customFormat="1" ht="13.8" x14ac:dyDescent="0.3">
      <c r="A186" s="31"/>
      <c r="B186" s="50"/>
      <c r="C186" s="51"/>
      <c r="D186" s="31"/>
      <c r="E186" s="38"/>
      <c r="F186" s="38"/>
      <c r="G186" s="38"/>
      <c r="H186" s="23"/>
      <c r="I186" s="23"/>
      <c r="J186" s="39"/>
      <c r="K186" s="40"/>
      <c r="L186" s="40"/>
      <c r="M186" s="23"/>
      <c r="N186" s="23"/>
      <c r="O186" s="41"/>
      <c r="P186" s="23"/>
      <c r="Q186" s="23"/>
      <c r="R186" s="25"/>
      <c r="S186" s="23"/>
      <c r="T186" s="23"/>
      <c r="U186" s="23"/>
      <c r="V186" s="23"/>
      <c r="W186" s="41"/>
      <c r="X186" s="24"/>
      <c r="Y186" s="24"/>
      <c r="Z186" s="24"/>
      <c r="AA186" s="24"/>
    </row>
    <row r="187" spans="1:27" s="52" customFormat="1" ht="13.8" x14ac:dyDescent="0.3">
      <c r="A187" s="31"/>
      <c r="B187" s="50"/>
      <c r="C187" s="51"/>
      <c r="D187" s="31"/>
      <c r="E187" s="38"/>
      <c r="F187" s="38"/>
      <c r="G187" s="38"/>
      <c r="H187" s="23"/>
      <c r="I187" s="23"/>
      <c r="J187" s="39"/>
      <c r="K187" s="40"/>
      <c r="L187" s="40"/>
      <c r="M187" s="23"/>
      <c r="N187" s="23"/>
      <c r="O187" s="41"/>
      <c r="P187" s="23"/>
      <c r="Q187" s="23"/>
      <c r="R187" s="25"/>
      <c r="S187" s="23"/>
      <c r="T187" s="23"/>
      <c r="U187" s="23"/>
      <c r="V187" s="23"/>
      <c r="W187" s="41"/>
      <c r="X187" s="24"/>
      <c r="Y187" s="24"/>
      <c r="Z187" s="24"/>
      <c r="AA187" s="24"/>
    </row>
    <row r="188" spans="1:27" s="52" customFormat="1" ht="13.8" x14ac:dyDescent="0.3">
      <c r="A188" s="31"/>
      <c r="B188" s="50"/>
      <c r="C188" s="51"/>
      <c r="D188" s="31"/>
      <c r="E188" s="38"/>
      <c r="F188" s="38"/>
      <c r="G188" s="38"/>
      <c r="H188" s="23"/>
      <c r="I188" s="23"/>
      <c r="J188" s="39"/>
      <c r="K188" s="40"/>
      <c r="L188" s="40"/>
      <c r="M188" s="23"/>
      <c r="N188" s="23"/>
      <c r="O188" s="41"/>
      <c r="P188" s="23"/>
      <c r="Q188" s="23"/>
      <c r="R188" s="25"/>
      <c r="S188" s="23"/>
      <c r="T188" s="23"/>
      <c r="U188" s="23"/>
      <c r="V188" s="23"/>
      <c r="W188" s="41"/>
      <c r="X188" s="24"/>
      <c r="Y188" s="24"/>
      <c r="Z188" s="24"/>
      <c r="AA188" s="24"/>
    </row>
    <row r="189" spans="1:27" s="52" customFormat="1" ht="13.8" x14ac:dyDescent="0.3">
      <c r="A189" s="31"/>
      <c r="B189" s="50"/>
      <c r="C189" s="51"/>
      <c r="D189" s="31"/>
      <c r="E189" s="38"/>
      <c r="F189" s="38"/>
      <c r="G189" s="38"/>
      <c r="H189" s="23"/>
      <c r="I189" s="23"/>
      <c r="J189" s="39"/>
      <c r="K189" s="40"/>
      <c r="L189" s="40"/>
      <c r="M189" s="23"/>
      <c r="N189" s="23"/>
      <c r="O189" s="41"/>
      <c r="P189" s="23"/>
      <c r="Q189" s="23"/>
      <c r="R189" s="25"/>
      <c r="S189" s="23"/>
      <c r="T189" s="23"/>
      <c r="U189" s="23"/>
      <c r="V189" s="23"/>
      <c r="W189" s="41"/>
      <c r="X189" s="24"/>
      <c r="Y189" s="24"/>
      <c r="Z189" s="24"/>
      <c r="AA189" s="24"/>
    </row>
    <row r="190" spans="1:27" s="52" customFormat="1" ht="13.8" x14ac:dyDescent="0.3">
      <c r="A190" s="31"/>
      <c r="B190" s="50"/>
      <c r="C190" s="51"/>
      <c r="D190" s="31"/>
      <c r="E190" s="38"/>
      <c r="F190" s="38"/>
      <c r="G190" s="38"/>
      <c r="H190" s="23"/>
      <c r="I190" s="23"/>
      <c r="J190" s="39"/>
      <c r="K190" s="40"/>
      <c r="L190" s="40"/>
      <c r="M190" s="23"/>
      <c r="N190" s="23"/>
      <c r="O190" s="41"/>
      <c r="P190" s="23"/>
      <c r="Q190" s="23"/>
      <c r="R190" s="25"/>
      <c r="S190" s="23"/>
      <c r="T190" s="23"/>
      <c r="U190" s="23"/>
      <c r="V190" s="23"/>
      <c r="W190" s="41"/>
      <c r="X190" s="24"/>
      <c r="Y190" s="24"/>
      <c r="Z190" s="24"/>
      <c r="AA190" s="24"/>
    </row>
    <row r="191" spans="1:27" s="52" customFormat="1" ht="13.8" x14ac:dyDescent="0.3">
      <c r="A191" s="31"/>
      <c r="B191" s="50"/>
      <c r="C191" s="51"/>
      <c r="D191" s="31"/>
      <c r="E191" s="38"/>
      <c r="F191" s="38"/>
      <c r="G191" s="38"/>
      <c r="H191" s="23"/>
      <c r="I191" s="23"/>
      <c r="J191" s="39"/>
      <c r="K191" s="40"/>
      <c r="L191" s="40"/>
      <c r="M191" s="23"/>
      <c r="N191" s="23"/>
      <c r="O191" s="41"/>
      <c r="P191" s="23"/>
      <c r="Q191" s="23"/>
      <c r="R191" s="25"/>
      <c r="S191" s="23"/>
      <c r="T191" s="23"/>
      <c r="U191" s="23"/>
      <c r="V191" s="23"/>
      <c r="W191" s="41"/>
      <c r="X191" s="24"/>
      <c r="Y191" s="24"/>
      <c r="Z191" s="24"/>
      <c r="AA191" s="24"/>
    </row>
    <row r="192" spans="1:27" s="52" customFormat="1" ht="13.8" x14ac:dyDescent="0.3">
      <c r="A192" s="31"/>
      <c r="B192" s="50"/>
      <c r="C192" s="51"/>
      <c r="D192" s="31"/>
      <c r="E192" s="38"/>
      <c r="F192" s="38"/>
      <c r="G192" s="38"/>
      <c r="H192" s="23"/>
      <c r="I192" s="23"/>
      <c r="J192" s="39"/>
      <c r="K192" s="40"/>
      <c r="L192" s="40"/>
      <c r="M192" s="23"/>
      <c r="N192" s="23"/>
      <c r="O192" s="41"/>
      <c r="P192" s="41"/>
      <c r="Q192" s="41"/>
      <c r="R192" s="25"/>
      <c r="S192" s="23"/>
      <c r="T192" s="23"/>
      <c r="U192" s="23"/>
      <c r="V192" s="23"/>
      <c r="W192" s="41"/>
      <c r="X192" s="24"/>
      <c r="Y192" s="24"/>
      <c r="Z192" s="24"/>
      <c r="AA192" s="24"/>
    </row>
    <row r="193" spans="1:27" s="52" customFormat="1" ht="13.8" x14ac:dyDescent="0.3">
      <c r="A193" s="31"/>
      <c r="B193" s="50"/>
      <c r="C193" s="51"/>
      <c r="D193" s="31"/>
      <c r="E193" s="38"/>
      <c r="F193" s="38"/>
      <c r="G193" s="38"/>
      <c r="H193" s="23"/>
      <c r="I193" s="23"/>
      <c r="J193" s="39"/>
      <c r="K193" s="40"/>
      <c r="L193" s="40"/>
      <c r="M193" s="23"/>
      <c r="N193" s="23"/>
      <c r="O193" s="41"/>
      <c r="P193" s="41"/>
      <c r="Q193" s="41"/>
      <c r="R193" s="25"/>
      <c r="S193" s="23"/>
      <c r="T193" s="23"/>
      <c r="U193" s="23"/>
      <c r="V193" s="23"/>
      <c r="W193" s="41"/>
      <c r="X193" s="24"/>
      <c r="Y193" s="24"/>
      <c r="Z193" s="24"/>
      <c r="AA193" s="24"/>
    </row>
    <row r="194" spans="1:27" s="52" customFormat="1" ht="13.8" x14ac:dyDescent="0.3">
      <c r="A194" s="31"/>
      <c r="B194" s="50"/>
      <c r="C194" s="51"/>
      <c r="D194" s="31"/>
      <c r="E194" s="38"/>
      <c r="F194" s="38"/>
      <c r="G194" s="38"/>
      <c r="H194" s="23"/>
      <c r="I194" s="23"/>
      <c r="J194" s="39"/>
      <c r="K194" s="40"/>
      <c r="L194" s="40"/>
      <c r="M194" s="23"/>
      <c r="N194" s="23"/>
      <c r="O194" s="41"/>
      <c r="P194" s="41"/>
      <c r="Q194" s="41"/>
      <c r="R194" s="25"/>
      <c r="S194" s="23"/>
      <c r="T194" s="23"/>
      <c r="U194" s="23"/>
      <c r="V194" s="23"/>
      <c r="W194" s="41"/>
      <c r="X194" s="24"/>
      <c r="Y194" s="24"/>
      <c r="Z194" s="24"/>
      <c r="AA194" s="24"/>
    </row>
    <row r="195" spans="1:27" s="52" customFormat="1" ht="13.8" x14ac:dyDescent="0.3">
      <c r="A195" s="31"/>
      <c r="B195" s="50"/>
      <c r="C195" s="51"/>
      <c r="D195" s="31"/>
      <c r="E195" s="38"/>
      <c r="F195" s="38"/>
      <c r="G195" s="38"/>
      <c r="H195" s="23"/>
      <c r="I195" s="23"/>
      <c r="J195" s="39"/>
      <c r="K195" s="40"/>
      <c r="L195" s="40"/>
      <c r="M195" s="23"/>
      <c r="N195" s="23"/>
      <c r="O195" s="41"/>
      <c r="P195" s="41"/>
      <c r="Q195" s="41"/>
      <c r="R195" s="25"/>
      <c r="S195" s="23"/>
      <c r="T195" s="23"/>
      <c r="U195" s="23"/>
      <c r="V195" s="23"/>
      <c r="W195" s="41"/>
      <c r="X195" s="24"/>
      <c r="Y195" s="24"/>
      <c r="Z195" s="24"/>
      <c r="AA195" s="24"/>
    </row>
    <row r="196" spans="1:27" s="52" customFormat="1" ht="13.8" x14ac:dyDescent="0.3">
      <c r="A196" s="31"/>
      <c r="B196" s="50"/>
      <c r="C196" s="51"/>
      <c r="D196" s="31"/>
      <c r="E196" s="38"/>
      <c r="F196" s="38"/>
      <c r="G196" s="38"/>
      <c r="H196" s="23"/>
      <c r="I196" s="23"/>
      <c r="J196" s="39"/>
      <c r="K196" s="40"/>
      <c r="L196" s="40"/>
      <c r="M196" s="23"/>
      <c r="N196" s="23"/>
      <c r="O196" s="41"/>
      <c r="P196" s="41"/>
      <c r="Q196" s="41"/>
      <c r="R196" s="25"/>
      <c r="S196" s="23"/>
      <c r="T196" s="23"/>
      <c r="U196" s="23"/>
      <c r="V196" s="23"/>
      <c r="W196" s="41"/>
      <c r="X196" s="24"/>
      <c r="Y196" s="24"/>
      <c r="Z196" s="24"/>
      <c r="AA196" s="24"/>
    </row>
    <row r="197" spans="1:27" s="52" customFormat="1" ht="13.8" x14ac:dyDescent="0.3">
      <c r="A197" s="31"/>
      <c r="B197" s="50"/>
      <c r="C197" s="51"/>
      <c r="D197" s="31"/>
      <c r="E197" s="38"/>
      <c r="F197" s="38"/>
      <c r="G197" s="38"/>
      <c r="H197" s="23"/>
      <c r="I197" s="23"/>
      <c r="J197" s="39"/>
      <c r="K197" s="40"/>
      <c r="L197" s="40"/>
      <c r="M197" s="23"/>
      <c r="N197" s="23"/>
      <c r="O197" s="41"/>
      <c r="P197" s="41"/>
      <c r="Q197" s="41"/>
      <c r="R197" s="25"/>
      <c r="S197" s="23"/>
      <c r="T197" s="23"/>
      <c r="U197" s="23"/>
      <c r="V197" s="23"/>
      <c r="W197" s="41"/>
      <c r="X197" s="24"/>
      <c r="Y197" s="24"/>
      <c r="Z197" s="24"/>
      <c r="AA197" s="24"/>
    </row>
    <row r="198" spans="1:27" s="52" customFormat="1" ht="13.8" x14ac:dyDescent="0.3">
      <c r="A198" s="31"/>
      <c r="B198" s="50"/>
      <c r="C198" s="51"/>
      <c r="D198" s="31"/>
      <c r="E198" s="38"/>
      <c r="F198" s="38"/>
      <c r="G198" s="38"/>
      <c r="H198" s="23"/>
      <c r="I198" s="23"/>
      <c r="J198" s="39"/>
      <c r="K198" s="40"/>
      <c r="L198" s="40"/>
      <c r="M198" s="23"/>
      <c r="N198" s="23"/>
      <c r="O198" s="41"/>
      <c r="P198" s="41"/>
      <c r="Q198" s="41"/>
      <c r="R198" s="25"/>
      <c r="S198" s="23"/>
      <c r="T198" s="23"/>
      <c r="U198" s="23"/>
      <c r="V198" s="23"/>
      <c r="W198" s="41"/>
      <c r="X198" s="24"/>
      <c r="Y198" s="24"/>
      <c r="Z198" s="24"/>
      <c r="AA198" s="24"/>
    </row>
    <row r="199" spans="1:27" s="52" customFormat="1" ht="13.8" x14ac:dyDescent="0.3">
      <c r="A199" s="31"/>
      <c r="B199" s="50"/>
      <c r="C199" s="51"/>
      <c r="D199" s="31"/>
      <c r="E199" s="38"/>
      <c r="F199" s="38"/>
      <c r="G199" s="38"/>
      <c r="H199" s="23"/>
      <c r="I199" s="23"/>
      <c r="J199" s="39"/>
      <c r="K199" s="40"/>
      <c r="L199" s="40"/>
      <c r="M199" s="23"/>
      <c r="N199" s="23"/>
      <c r="O199" s="41"/>
      <c r="P199" s="41"/>
      <c r="Q199" s="41"/>
      <c r="R199" s="25"/>
      <c r="S199" s="23"/>
      <c r="T199" s="23"/>
      <c r="U199" s="23"/>
      <c r="V199" s="23"/>
      <c r="W199" s="41"/>
      <c r="X199" s="24"/>
      <c r="Y199" s="24"/>
      <c r="Z199" s="24"/>
      <c r="AA199" s="24"/>
    </row>
    <row r="200" spans="1:27" s="52" customFormat="1" ht="13.8" x14ac:dyDescent="0.3">
      <c r="A200" s="31"/>
      <c r="B200" s="50"/>
      <c r="C200" s="51"/>
      <c r="D200" s="31"/>
      <c r="E200" s="38"/>
      <c r="F200" s="38"/>
      <c r="G200" s="38"/>
      <c r="H200" s="23"/>
      <c r="I200" s="23"/>
      <c r="J200" s="39"/>
      <c r="K200" s="40"/>
      <c r="L200" s="40"/>
      <c r="M200" s="23"/>
      <c r="N200" s="23"/>
      <c r="O200" s="41"/>
      <c r="P200" s="41"/>
      <c r="Q200" s="41"/>
      <c r="R200" s="25"/>
      <c r="S200" s="23"/>
      <c r="T200" s="23"/>
      <c r="U200" s="23"/>
      <c r="V200" s="23"/>
      <c r="W200" s="41"/>
      <c r="X200" s="24"/>
      <c r="Y200" s="24"/>
      <c r="Z200" s="24"/>
      <c r="AA200" s="24"/>
    </row>
    <row r="201" spans="1:27" s="52" customFormat="1" ht="13.8" x14ac:dyDescent="0.3">
      <c r="A201" s="31"/>
      <c r="B201" s="50"/>
      <c r="C201" s="51"/>
      <c r="D201" s="31"/>
      <c r="E201" s="23"/>
      <c r="F201" s="23"/>
      <c r="G201" s="23"/>
      <c r="H201" s="23"/>
      <c r="I201" s="23"/>
      <c r="J201" s="39"/>
      <c r="K201" s="40"/>
      <c r="L201" s="40"/>
      <c r="M201" s="23"/>
      <c r="N201" s="23"/>
      <c r="O201" s="41"/>
      <c r="P201" s="41"/>
      <c r="Q201" s="41"/>
      <c r="R201" s="25"/>
      <c r="S201" s="23"/>
      <c r="T201" s="23"/>
      <c r="U201" s="23"/>
      <c r="V201" s="23"/>
      <c r="W201" s="41"/>
      <c r="X201" s="24"/>
      <c r="Y201" s="24"/>
      <c r="Z201" s="24"/>
      <c r="AA201" s="24"/>
    </row>
    <row r="202" spans="1:27" s="52" customFormat="1" ht="13.8" x14ac:dyDescent="0.3">
      <c r="A202" s="31"/>
      <c r="B202" s="50"/>
      <c r="C202" s="51"/>
      <c r="D202" s="31"/>
      <c r="E202" s="38"/>
      <c r="F202" s="38"/>
      <c r="G202" s="23"/>
      <c r="H202" s="23"/>
      <c r="I202" s="23"/>
      <c r="J202" s="39"/>
      <c r="K202" s="40"/>
      <c r="L202" s="40"/>
      <c r="M202" s="23"/>
      <c r="N202" s="23"/>
      <c r="O202" s="41"/>
      <c r="P202" s="41"/>
      <c r="Q202" s="41"/>
      <c r="R202" s="25"/>
      <c r="S202" s="23"/>
      <c r="T202" s="23"/>
      <c r="U202" s="23"/>
      <c r="V202" s="23"/>
      <c r="W202" s="41"/>
      <c r="X202" s="24"/>
      <c r="Y202" s="24"/>
      <c r="Z202" s="24"/>
      <c r="AA202" s="24"/>
    </row>
    <row r="203" spans="1:27" s="54" customFormat="1" ht="13.8" x14ac:dyDescent="0.3">
      <c r="A203" s="31"/>
      <c r="B203" s="50"/>
      <c r="C203" s="51"/>
      <c r="D203" s="31"/>
      <c r="E203" s="38"/>
      <c r="F203" s="38"/>
      <c r="G203" s="23"/>
      <c r="H203" s="23"/>
      <c r="I203" s="23"/>
      <c r="J203" s="39"/>
      <c r="K203" s="40"/>
      <c r="L203" s="40"/>
      <c r="M203" s="23"/>
      <c r="N203" s="23"/>
      <c r="O203" s="24"/>
      <c r="P203" s="41"/>
      <c r="Q203" s="25"/>
      <c r="R203" s="25"/>
      <c r="S203" s="23"/>
      <c r="T203" s="23"/>
      <c r="U203" s="23"/>
      <c r="V203" s="23"/>
      <c r="W203" s="41"/>
      <c r="X203" s="24"/>
      <c r="Y203" s="24"/>
      <c r="Z203" s="24"/>
      <c r="AA203" s="24"/>
    </row>
    <row r="204" spans="1:27" s="54" customFormat="1" ht="13.8" x14ac:dyDescent="0.3">
      <c r="A204" s="31"/>
      <c r="B204" s="50"/>
      <c r="C204" s="51"/>
      <c r="D204" s="31"/>
      <c r="E204" s="38"/>
      <c r="F204" s="38"/>
      <c r="G204" s="38"/>
      <c r="H204" s="23"/>
      <c r="I204" s="23"/>
      <c r="J204" s="39"/>
      <c r="K204" s="40"/>
      <c r="L204" s="40"/>
      <c r="M204" s="23"/>
      <c r="N204" s="23"/>
      <c r="O204" s="24"/>
      <c r="P204" s="41"/>
      <c r="Q204" s="25"/>
      <c r="R204" s="25"/>
      <c r="S204" s="23"/>
      <c r="T204" s="23"/>
      <c r="U204" s="23"/>
      <c r="V204" s="23"/>
      <c r="W204" s="41"/>
      <c r="X204" s="24"/>
      <c r="Y204" s="24"/>
      <c r="Z204" s="24"/>
      <c r="AA204" s="24"/>
    </row>
    <row r="205" spans="1:27" s="54" customFormat="1" ht="13.8" x14ac:dyDescent="0.3">
      <c r="A205" s="31"/>
      <c r="B205" s="50"/>
      <c r="C205" s="51"/>
      <c r="D205" s="31"/>
      <c r="E205" s="38"/>
      <c r="F205" s="38"/>
      <c r="G205" s="23"/>
      <c r="H205" s="23"/>
      <c r="I205" s="23"/>
      <c r="J205" s="39"/>
      <c r="K205" s="40"/>
      <c r="L205" s="40"/>
      <c r="M205" s="23"/>
      <c r="N205" s="23"/>
      <c r="O205" s="24"/>
      <c r="P205" s="41"/>
      <c r="Q205" s="25"/>
      <c r="R205" s="25"/>
      <c r="S205" s="23"/>
      <c r="T205" s="23"/>
      <c r="U205" s="23"/>
      <c r="V205" s="23"/>
      <c r="W205" s="41"/>
      <c r="X205" s="24"/>
      <c r="Y205" s="24"/>
      <c r="Z205" s="24"/>
      <c r="AA205" s="24"/>
    </row>
    <row r="206" spans="1:27" s="54" customFormat="1" ht="13.8" x14ac:dyDescent="0.3">
      <c r="A206" s="31"/>
      <c r="B206" s="50"/>
      <c r="C206" s="51"/>
      <c r="D206" s="31"/>
      <c r="E206" s="38"/>
      <c r="F206" s="38"/>
      <c r="G206" s="38"/>
      <c r="H206" s="23"/>
      <c r="I206" s="23"/>
      <c r="J206" s="39"/>
      <c r="K206" s="40"/>
      <c r="L206" s="40"/>
      <c r="M206" s="23"/>
      <c r="N206" s="23"/>
      <c r="O206" s="24"/>
      <c r="P206" s="41"/>
      <c r="Q206" s="25"/>
      <c r="R206" s="25"/>
      <c r="S206" s="23"/>
      <c r="T206" s="23"/>
      <c r="U206" s="23"/>
      <c r="V206" s="23"/>
      <c r="W206" s="41"/>
      <c r="X206" s="24"/>
      <c r="Y206" s="24"/>
      <c r="Z206" s="24"/>
      <c r="AA206" s="24"/>
    </row>
    <row r="207" spans="1:27" x14ac:dyDescent="0.3">
      <c r="A207" s="31"/>
      <c r="C207" s="51"/>
      <c r="D207" s="31"/>
      <c r="G207" s="23"/>
      <c r="H207" s="23"/>
      <c r="I207" s="23"/>
      <c r="J207" s="39"/>
      <c r="K207" s="40"/>
      <c r="L207" s="40"/>
      <c r="M207" s="23"/>
      <c r="N207" s="23"/>
      <c r="Q207" s="41"/>
      <c r="R207" s="25"/>
      <c r="S207" s="23"/>
      <c r="T207" s="23"/>
      <c r="U207" s="23"/>
      <c r="V207" s="23"/>
    </row>
    <row r="208" spans="1:27" x14ac:dyDescent="0.3">
      <c r="A208" s="31"/>
      <c r="C208" s="51"/>
      <c r="D208" s="31"/>
      <c r="G208" s="23"/>
      <c r="H208" s="23"/>
      <c r="I208" s="23"/>
      <c r="J208" s="39"/>
      <c r="K208" s="40"/>
      <c r="L208" s="40"/>
      <c r="M208" s="23"/>
      <c r="N208" s="23"/>
      <c r="Q208" s="41"/>
      <c r="R208" s="25"/>
      <c r="S208" s="23"/>
      <c r="T208" s="23"/>
      <c r="U208" s="23"/>
      <c r="V208" s="23"/>
    </row>
    <row r="209" spans="1:22" x14ac:dyDescent="0.3">
      <c r="A209" s="31"/>
      <c r="C209" s="51"/>
      <c r="D209" s="31"/>
      <c r="G209" s="23"/>
      <c r="H209" s="23"/>
      <c r="I209" s="23"/>
      <c r="J209" s="39"/>
      <c r="K209" s="40"/>
      <c r="L209" s="40"/>
      <c r="M209" s="23"/>
      <c r="N209" s="23"/>
      <c r="Q209" s="41"/>
      <c r="R209" s="25"/>
      <c r="S209" s="23"/>
      <c r="T209" s="23"/>
      <c r="U209" s="23"/>
      <c r="V209" s="23"/>
    </row>
    <row r="210" spans="1:22" x14ac:dyDescent="0.3">
      <c r="A210" s="31"/>
      <c r="C210" s="51"/>
      <c r="D210" s="31"/>
      <c r="G210" s="23"/>
      <c r="H210" s="23"/>
      <c r="I210" s="23"/>
      <c r="J210" s="39"/>
      <c r="K210" s="40"/>
      <c r="L210" s="40"/>
      <c r="M210" s="23"/>
      <c r="N210" s="23"/>
      <c r="Q210" s="41"/>
      <c r="R210" s="25"/>
      <c r="S210" s="23"/>
      <c r="T210" s="23"/>
      <c r="U210" s="23"/>
      <c r="V210" s="23"/>
    </row>
    <row r="211" spans="1:22" x14ac:dyDescent="0.3">
      <c r="A211" s="31"/>
      <c r="C211" s="51"/>
      <c r="D211" s="31"/>
      <c r="G211" s="23"/>
      <c r="H211" s="23"/>
      <c r="I211" s="23"/>
      <c r="J211" s="39"/>
      <c r="K211" s="40"/>
      <c r="L211" s="40"/>
      <c r="M211" s="23"/>
      <c r="N211" s="23"/>
      <c r="Q211" s="41"/>
      <c r="R211" s="25"/>
      <c r="S211" s="23"/>
      <c r="T211" s="23"/>
      <c r="U211" s="23"/>
      <c r="V211" s="23"/>
    </row>
    <row r="212" spans="1:22" x14ac:dyDescent="0.3">
      <c r="A212" s="31"/>
      <c r="C212" s="51"/>
      <c r="D212" s="31"/>
      <c r="G212" s="23"/>
      <c r="H212" s="23"/>
      <c r="I212" s="23"/>
      <c r="J212" s="39"/>
      <c r="K212" s="40"/>
      <c r="L212" s="40"/>
      <c r="M212" s="23"/>
      <c r="N212" s="23"/>
      <c r="Q212" s="41"/>
      <c r="R212" s="25"/>
      <c r="S212" s="23"/>
      <c r="T212" s="23"/>
      <c r="U212" s="23"/>
      <c r="V212" s="23"/>
    </row>
    <row r="213" spans="1:22" x14ac:dyDescent="0.3">
      <c r="A213" s="31"/>
      <c r="C213" s="51"/>
      <c r="D213" s="31"/>
      <c r="G213" s="23"/>
      <c r="H213" s="23"/>
      <c r="I213" s="23"/>
      <c r="J213" s="39"/>
      <c r="K213" s="40"/>
      <c r="L213" s="40"/>
      <c r="M213" s="23"/>
      <c r="N213" s="23"/>
      <c r="Q213" s="41"/>
      <c r="R213" s="25"/>
      <c r="S213" s="23"/>
      <c r="T213" s="23"/>
      <c r="U213" s="23"/>
      <c r="V213" s="23"/>
    </row>
    <row r="214" spans="1:22" x14ac:dyDescent="0.3">
      <c r="A214" s="31"/>
      <c r="C214" s="51"/>
      <c r="D214" s="31"/>
      <c r="G214" s="23"/>
      <c r="H214" s="23"/>
      <c r="I214" s="23"/>
      <c r="J214" s="39"/>
      <c r="K214" s="40"/>
      <c r="L214" s="40"/>
      <c r="M214" s="23"/>
      <c r="N214" s="23"/>
      <c r="Q214" s="41"/>
      <c r="R214" s="25"/>
      <c r="S214" s="23"/>
      <c r="T214" s="23"/>
      <c r="U214" s="23"/>
      <c r="V214" s="23"/>
    </row>
    <row r="215" spans="1:22" x14ac:dyDescent="0.3">
      <c r="A215" s="31"/>
      <c r="C215" s="51"/>
      <c r="D215" s="31"/>
      <c r="G215" s="23"/>
      <c r="H215" s="23"/>
      <c r="I215" s="23"/>
      <c r="J215" s="39"/>
      <c r="K215" s="40"/>
      <c r="L215" s="40"/>
      <c r="M215" s="23"/>
      <c r="N215" s="23"/>
      <c r="Q215" s="41"/>
      <c r="R215" s="25"/>
      <c r="S215" s="23"/>
      <c r="T215" s="23"/>
      <c r="U215" s="23"/>
      <c r="V215" s="23"/>
    </row>
    <row r="216" spans="1:22" x14ac:dyDescent="0.3">
      <c r="A216" s="31"/>
      <c r="C216" s="51"/>
      <c r="D216" s="31"/>
      <c r="G216" s="23"/>
      <c r="H216" s="23"/>
      <c r="I216" s="23"/>
      <c r="J216" s="39"/>
      <c r="K216" s="40"/>
      <c r="L216" s="40"/>
      <c r="M216" s="23"/>
      <c r="N216" s="23"/>
      <c r="Q216" s="41"/>
      <c r="R216" s="25"/>
      <c r="S216" s="23"/>
      <c r="T216" s="23"/>
      <c r="U216" s="23"/>
      <c r="V216" s="23"/>
    </row>
    <row r="217" spans="1:22" x14ac:dyDescent="0.3">
      <c r="A217" s="31"/>
      <c r="C217" s="51"/>
      <c r="D217" s="31"/>
      <c r="H217" s="23"/>
      <c r="I217" s="23"/>
      <c r="J217" s="39"/>
      <c r="K217" s="40"/>
      <c r="L217" s="40"/>
      <c r="M217" s="23"/>
      <c r="N217" s="23"/>
      <c r="Q217" s="41"/>
      <c r="R217" s="25"/>
      <c r="S217" s="23"/>
      <c r="T217" s="23"/>
      <c r="U217" s="23"/>
      <c r="V217" s="23"/>
    </row>
    <row r="218" spans="1:22" x14ac:dyDescent="0.3">
      <c r="A218" s="31"/>
      <c r="C218" s="51"/>
      <c r="D218" s="31"/>
      <c r="H218" s="23"/>
      <c r="I218" s="23"/>
      <c r="J218" s="39"/>
      <c r="K218" s="40"/>
      <c r="L218" s="40"/>
      <c r="M218" s="23"/>
      <c r="N218" s="23"/>
      <c r="Q218" s="41"/>
      <c r="R218" s="25"/>
      <c r="S218" s="23"/>
      <c r="T218" s="23"/>
      <c r="U218" s="23"/>
      <c r="V218" s="23"/>
    </row>
    <row r="219" spans="1:22" x14ac:dyDescent="0.3">
      <c r="A219" s="31"/>
      <c r="C219" s="51"/>
      <c r="D219" s="31"/>
      <c r="H219" s="23"/>
      <c r="I219" s="23"/>
      <c r="J219" s="39"/>
      <c r="K219" s="40"/>
      <c r="L219" s="40"/>
      <c r="M219" s="23"/>
      <c r="N219" s="23"/>
      <c r="Q219" s="41"/>
      <c r="R219" s="25"/>
      <c r="S219" s="23"/>
      <c r="T219" s="23"/>
      <c r="U219" s="23"/>
      <c r="V219" s="23"/>
    </row>
    <row r="220" spans="1:22" x14ac:dyDescent="0.3">
      <c r="A220" s="31"/>
      <c r="C220" s="51"/>
      <c r="D220" s="31"/>
      <c r="H220" s="23"/>
      <c r="I220" s="23"/>
      <c r="J220" s="39"/>
      <c r="K220" s="40"/>
      <c r="L220" s="40"/>
      <c r="M220" s="23"/>
      <c r="N220" s="23"/>
      <c r="Q220" s="41"/>
      <c r="R220" s="25"/>
      <c r="S220" s="23"/>
      <c r="T220" s="23"/>
      <c r="U220" s="23"/>
      <c r="V220" s="23"/>
    </row>
    <row r="221" spans="1:22" x14ac:dyDescent="0.3">
      <c r="A221" s="31"/>
      <c r="C221" s="51"/>
      <c r="D221" s="31"/>
      <c r="H221" s="23"/>
      <c r="I221" s="23"/>
      <c r="J221" s="39"/>
      <c r="K221" s="40"/>
      <c r="L221" s="40"/>
      <c r="M221" s="23"/>
      <c r="N221" s="23"/>
      <c r="Q221" s="41"/>
      <c r="R221" s="25"/>
      <c r="S221" s="23"/>
      <c r="T221" s="23"/>
      <c r="U221" s="23"/>
      <c r="V221" s="23"/>
    </row>
    <row r="222" spans="1:22" x14ac:dyDescent="0.3">
      <c r="A222" s="31"/>
      <c r="C222" s="51"/>
      <c r="D222" s="31"/>
      <c r="H222" s="23"/>
      <c r="I222" s="23"/>
      <c r="J222" s="39"/>
      <c r="K222" s="40"/>
      <c r="L222" s="40"/>
      <c r="M222" s="23"/>
      <c r="N222" s="23"/>
      <c r="Q222" s="41"/>
      <c r="R222" s="25"/>
      <c r="S222" s="23"/>
      <c r="T222" s="23"/>
      <c r="U222" s="23"/>
      <c r="V222" s="23"/>
    </row>
    <row r="223" spans="1:22" x14ac:dyDescent="0.3">
      <c r="A223" s="31"/>
      <c r="C223" s="51"/>
      <c r="D223" s="31"/>
      <c r="G223" s="23"/>
      <c r="H223" s="23"/>
      <c r="I223" s="23"/>
      <c r="J223" s="39"/>
      <c r="K223" s="40"/>
      <c r="L223" s="40"/>
      <c r="M223" s="23"/>
      <c r="N223" s="23"/>
      <c r="Q223" s="41"/>
      <c r="R223" s="25"/>
      <c r="S223" s="23"/>
      <c r="T223" s="23"/>
      <c r="U223" s="23"/>
      <c r="V223" s="23"/>
    </row>
    <row r="224" spans="1:22" x14ac:dyDescent="0.3">
      <c r="A224" s="31"/>
      <c r="C224" s="51"/>
      <c r="D224" s="31"/>
      <c r="G224" s="23"/>
      <c r="H224" s="23"/>
      <c r="I224" s="23"/>
      <c r="J224" s="39"/>
      <c r="K224" s="40"/>
      <c r="L224" s="40"/>
      <c r="M224" s="23"/>
      <c r="N224" s="23"/>
      <c r="Q224" s="41"/>
      <c r="R224" s="25"/>
      <c r="S224" s="23"/>
      <c r="T224" s="23"/>
      <c r="U224" s="23"/>
      <c r="V224" s="23"/>
    </row>
    <row r="225" spans="1:27" x14ac:dyDescent="0.3">
      <c r="A225" s="31"/>
      <c r="C225" s="51"/>
      <c r="D225" s="31"/>
      <c r="G225" s="23"/>
      <c r="H225" s="23"/>
      <c r="I225" s="23"/>
      <c r="J225" s="39"/>
      <c r="K225" s="40"/>
      <c r="L225" s="40"/>
      <c r="M225" s="23"/>
      <c r="N225" s="23"/>
      <c r="Q225" s="41"/>
      <c r="R225" s="25"/>
      <c r="S225" s="23"/>
      <c r="T225" s="23"/>
      <c r="U225" s="23"/>
      <c r="V225" s="23"/>
    </row>
    <row r="226" spans="1:27" x14ac:dyDescent="0.3">
      <c r="A226" s="31"/>
      <c r="C226" s="51"/>
      <c r="D226" s="31"/>
      <c r="H226" s="23"/>
      <c r="I226" s="23"/>
      <c r="J226" s="39"/>
      <c r="K226" s="40"/>
      <c r="L226" s="40"/>
      <c r="M226" s="23"/>
      <c r="N226" s="23"/>
      <c r="Q226" s="41"/>
      <c r="R226" s="25"/>
      <c r="S226" s="23"/>
      <c r="T226" s="23"/>
      <c r="U226" s="23"/>
      <c r="V226" s="23"/>
    </row>
    <row r="227" spans="1:27" s="55" customFormat="1" x14ac:dyDescent="0.3">
      <c r="A227" s="31"/>
      <c r="B227" s="50"/>
      <c r="C227" s="51"/>
      <c r="D227" s="31"/>
      <c r="E227" s="38"/>
      <c r="F227" s="38"/>
      <c r="G227" s="38"/>
      <c r="H227" s="23"/>
      <c r="I227" s="23"/>
      <c r="J227" s="39"/>
      <c r="K227" s="40"/>
      <c r="L227" s="40"/>
      <c r="M227" s="23"/>
      <c r="N227" s="23"/>
      <c r="O227" s="41"/>
      <c r="P227" s="41"/>
      <c r="Q227" s="41"/>
      <c r="R227" s="25"/>
      <c r="S227" s="23"/>
      <c r="T227" s="23"/>
      <c r="U227" s="23"/>
      <c r="V227" s="23"/>
      <c r="W227" s="41"/>
      <c r="X227" s="24"/>
      <c r="Y227" s="24"/>
      <c r="Z227" s="24"/>
      <c r="AA227" s="24"/>
    </row>
    <row r="228" spans="1:27" x14ac:dyDescent="0.3">
      <c r="A228" s="31"/>
      <c r="C228" s="51"/>
      <c r="D228" s="31"/>
      <c r="H228" s="23"/>
      <c r="I228" s="23"/>
      <c r="J228" s="39"/>
      <c r="K228" s="40"/>
      <c r="L228" s="40"/>
      <c r="M228" s="23"/>
      <c r="N228" s="23"/>
      <c r="Q228" s="41"/>
      <c r="R228" s="25"/>
      <c r="S228" s="23"/>
      <c r="T228" s="23"/>
      <c r="U228" s="23"/>
      <c r="V228" s="23"/>
    </row>
    <row r="229" spans="1:27" s="55" customFormat="1" x14ac:dyDescent="0.3">
      <c r="A229" s="31"/>
      <c r="B229" s="50"/>
      <c r="C229" s="51"/>
      <c r="D229" s="31"/>
      <c r="E229" s="38"/>
      <c r="F229" s="38"/>
      <c r="G229" s="38"/>
      <c r="H229" s="23"/>
      <c r="I229" s="23"/>
      <c r="J229" s="39"/>
      <c r="K229" s="40"/>
      <c r="L229" s="40"/>
      <c r="M229" s="23"/>
      <c r="N229" s="23"/>
      <c r="O229" s="41"/>
      <c r="P229" s="41"/>
      <c r="Q229" s="41"/>
      <c r="R229" s="25"/>
      <c r="S229" s="23"/>
      <c r="T229" s="23"/>
      <c r="U229" s="23"/>
      <c r="V229" s="23"/>
      <c r="W229" s="41"/>
      <c r="X229" s="24"/>
      <c r="Y229" s="24"/>
      <c r="Z229" s="24"/>
      <c r="AA229" s="24"/>
    </row>
    <row r="230" spans="1:27" x14ac:dyDescent="0.3">
      <c r="A230" s="31"/>
      <c r="C230" s="51"/>
      <c r="D230" s="31"/>
      <c r="H230" s="23"/>
      <c r="I230" s="23"/>
      <c r="J230" s="39"/>
      <c r="K230" s="40"/>
      <c r="L230" s="40"/>
      <c r="M230" s="23"/>
      <c r="N230" s="23"/>
      <c r="Q230" s="41"/>
      <c r="R230" s="25"/>
      <c r="S230" s="23"/>
      <c r="T230" s="23"/>
      <c r="U230" s="23"/>
      <c r="V230" s="23"/>
    </row>
    <row r="231" spans="1:27" x14ac:dyDescent="0.3">
      <c r="A231" s="31"/>
      <c r="C231" s="51"/>
      <c r="D231" s="31"/>
      <c r="H231" s="23"/>
      <c r="J231" s="39"/>
      <c r="K231" s="40"/>
      <c r="L231" s="40"/>
      <c r="M231" s="23"/>
      <c r="N231" s="23"/>
      <c r="P231" s="23"/>
      <c r="Q231" s="23"/>
      <c r="R231" s="25"/>
      <c r="S231" s="23"/>
      <c r="T231" s="23"/>
      <c r="U231" s="23"/>
      <c r="V231" s="23"/>
    </row>
    <row r="232" spans="1:27" x14ac:dyDescent="0.3">
      <c r="A232" s="31"/>
      <c r="C232" s="51"/>
      <c r="D232" s="31"/>
      <c r="H232" s="23"/>
      <c r="J232" s="39"/>
      <c r="K232" s="40"/>
      <c r="L232" s="40"/>
      <c r="M232" s="23"/>
      <c r="N232" s="23"/>
      <c r="P232" s="23"/>
      <c r="Q232" s="23"/>
      <c r="R232" s="25"/>
      <c r="S232" s="23"/>
      <c r="T232" s="23"/>
      <c r="U232" s="23"/>
      <c r="V232" s="23"/>
    </row>
    <row r="233" spans="1:27" x14ac:dyDescent="0.3">
      <c r="A233" s="31"/>
      <c r="C233" s="51"/>
      <c r="D233" s="31"/>
      <c r="H233" s="23"/>
      <c r="J233" s="39"/>
      <c r="K233" s="40"/>
      <c r="L233" s="40"/>
      <c r="M233" s="23"/>
      <c r="N233" s="23"/>
      <c r="P233" s="23"/>
      <c r="Q233" s="23"/>
      <c r="R233" s="25"/>
      <c r="S233" s="23"/>
      <c r="T233" s="23"/>
      <c r="U233" s="23"/>
      <c r="V233" s="23"/>
    </row>
    <row r="234" spans="1:27" x14ac:dyDescent="0.3">
      <c r="A234" s="31"/>
      <c r="C234" s="51"/>
      <c r="D234" s="31"/>
      <c r="H234" s="23"/>
      <c r="J234" s="39"/>
      <c r="K234" s="40"/>
      <c r="L234" s="40"/>
      <c r="M234" s="23"/>
      <c r="N234" s="23"/>
      <c r="P234" s="23"/>
      <c r="Q234" s="23"/>
      <c r="R234" s="25"/>
      <c r="S234" s="23"/>
      <c r="T234" s="23"/>
      <c r="U234" s="23"/>
      <c r="V234" s="23"/>
    </row>
    <row r="235" spans="1:27" s="44" customFormat="1" x14ac:dyDescent="0.3">
      <c r="A235" s="31"/>
      <c r="B235" s="50"/>
      <c r="C235" s="51"/>
      <c r="D235" s="31"/>
      <c r="E235" s="38"/>
      <c r="F235" s="38"/>
      <c r="G235" s="38"/>
      <c r="H235" s="23"/>
      <c r="I235" s="38"/>
      <c r="J235" s="39"/>
      <c r="K235" s="40"/>
      <c r="L235" s="40"/>
      <c r="M235" s="23"/>
      <c r="N235" s="23"/>
      <c r="O235" s="41"/>
      <c r="P235" s="23"/>
      <c r="Q235" s="23"/>
      <c r="R235" s="25"/>
      <c r="S235" s="23"/>
      <c r="T235" s="23"/>
      <c r="U235" s="23"/>
      <c r="V235" s="23"/>
      <c r="W235" s="41"/>
      <c r="X235" s="24"/>
      <c r="Y235" s="24"/>
      <c r="Z235" s="24"/>
      <c r="AA235" s="24"/>
    </row>
    <row r="236" spans="1:27" x14ac:dyDescent="0.3">
      <c r="A236" s="31"/>
      <c r="C236" s="51"/>
      <c r="D236" s="31"/>
      <c r="H236" s="23"/>
      <c r="J236" s="39"/>
      <c r="K236" s="40"/>
      <c r="L236" s="40"/>
      <c r="M236" s="23"/>
      <c r="N236" s="23"/>
      <c r="Q236" s="41"/>
      <c r="R236" s="25"/>
      <c r="S236" s="23"/>
      <c r="T236" s="23"/>
      <c r="U236" s="23"/>
      <c r="V236" s="23"/>
    </row>
    <row r="237" spans="1:27" x14ac:dyDescent="0.3">
      <c r="A237" s="31"/>
      <c r="C237" s="51"/>
      <c r="D237" s="31"/>
      <c r="H237" s="23"/>
      <c r="J237" s="39"/>
      <c r="K237" s="40"/>
      <c r="L237" s="40"/>
      <c r="M237" s="23"/>
      <c r="N237" s="23"/>
      <c r="Q237" s="41"/>
      <c r="R237" s="25"/>
      <c r="S237" s="23"/>
      <c r="T237" s="23"/>
      <c r="U237" s="23"/>
      <c r="V237" s="23"/>
    </row>
    <row r="238" spans="1:27" s="44" customFormat="1" x14ac:dyDescent="0.3">
      <c r="A238" s="31"/>
      <c r="B238" s="50"/>
      <c r="C238" s="51"/>
      <c r="D238" s="31"/>
      <c r="E238" s="38"/>
      <c r="F238" s="38"/>
      <c r="G238" s="38"/>
      <c r="H238" s="23"/>
      <c r="I238" s="38"/>
      <c r="J238" s="39"/>
      <c r="K238" s="40"/>
      <c r="L238" s="40"/>
      <c r="M238" s="23"/>
      <c r="N238" s="23"/>
      <c r="O238" s="41"/>
      <c r="P238" s="41"/>
      <c r="Q238" s="41"/>
      <c r="R238" s="25"/>
      <c r="S238" s="23"/>
      <c r="T238" s="23"/>
      <c r="U238" s="23"/>
      <c r="V238" s="23"/>
      <c r="W238" s="41"/>
      <c r="X238" s="24"/>
      <c r="Y238" s="24"/>
      <c r="Z238" s="24"/>
      <c r="AA238" s="24"/>
    </row>
    <row r="239" spans="1:27" x14ac:dyDescent="0.3">
      <c r="A239" s="31"/>
      <c r="C239" s="51"/>
      <c r="D239" s="31"/>
      <c r="H239" s="23"/>
      <c r="J239" s="39"/>
      <c r="K239" s="40"/>
      <c r="L239" s="40"/>
      <c r="M239" s="23"/>
      <c r="N239" s="23"/>
      <c r="Q239" s="41"/>
      <c r="R239" s="25"/>
      <c r="S239" s="23"/>
      <c r="T239" s="23"/>
      <c r="U239" s="23"/>
      <c r="V239" s="23"/>
    </row>
    <row r="240" spans="1:27" x14ac:dyDescent="0.3">
      <c r="A240" s="31"/>
      <c r="C240" s="51"/>
      <c r="D240" s="31"/>
      <c r="H240" s="23"/>
      <c r="J240" s="39"/>
      <c r="K240" s="40"/>
      <c r="L240" s="40"/>
      <c r="M240" s="23"/>
      <c r="N240" s="23"/>
      <c r="Q240" s="41"/>
      <c r="R240" s="25"/>
      <c r="S240" s="23"/>
      <c r="T240" s="23"/>
      <c r="U240" s="23"/>
      <c r="V240" s="23"/>
    </row>
    <row r="241" spans="1:27" x14ac:dyDescent="0.3">
      <c r="A241" s="31"/>
      <c r="C241" s="51"/>
      <c r="D241" s="31"/>
      <c r="H241" s="23"/>
      <c r="J241" s="39"/>
      <c r="K241" s="40"/>
      <c r="L241" s="40"/>
      <c r="M241" s="23"/>
      <c r="N241" s="23"/>
      <c r="Q241" s="41"/>
      <c r="R241" s="25"/>
      <c r="S241" s="23"/>
      <c r="T241" s="23"/>
      <c r="U241" s="23"/>
      <c r="V241" s="23"/>
    </row>
    <row r="242" spans="1:27" x14ac:dyDescent="0.3">
      <c r="A242" s="31"/>
      <c r="C242" s="51"/>
      <c r="D242" s="31"/>
      <c r="H242" s="23"/>
      <c r="J242" s="39"/>
      <c r="K242" s="40"/>
      <c r="L242" s="40"/>
      <c r="M242" s="23"/>
      <c r="N242" s="23"/>
      <c r="Q242" s="41"/>
      <c r="R242" s="25"/>
      <c r="S242" s="23"/>
      <c r="T242" s="23"/>
      <c r="U242" s="23"/>
      <c r="V242" s="23"/>
    </row>
    <row r="243" spans="1:27" x14ac:dyDescent="0.3">
      <c r="A243" s="31"/>
      <c r="C243" s="51"/>
      <c r="D243" s="31"/>
      <c r="H243" s="23"/>
      <c r="J243" s="39"/>
      <c r="K243" s="40"/>
      <c r="L243" s="40"/>
      <c r="M243" s="23"/>
      <c r="N243" s="23"/>
      <c r="Q243" s="41"/>
      <c r="R243" s="25"/>
      <c r="S243" s="23"/>
      <c r="T243" s="23"/>
      <c r="U243" s="23"/>
      <c r="V243" s="23"/>
    </row>
    <row r="244" spans="1:27" s="44" customFormat="1" x14ac:dyDescent="0.3">
      <c r="A244" s="38"/>
      <c r="B244" s="50"/>
      <c r="C244" s="51"/>
      <c r="D244" s="38"/>
      <c r="E244" s="38"/>
      <c r="F244" s="38"/>
      <c r="G244" s="38"/>
      <c r="H244" s="38"/>
      <c r="I244" s="38"/>
      <c r="J244" s="56"/>
      <c r="K244" s="57"/>
      <c r="L244" s="57"/>
      <c r="M244" s="23"/>
      <c r="N244" s="23"/>
      <c r="O244" s="24"/>
      <c r="P244" s="41"/>
      <c r="Q244" s="41"/>
      <c r="R244" s="25"/>
      <c r="S244" s="23"/>
      <c r="T244" s="23"/>
      <c r="U244" s="23"/>
      <c r="V244" s="23"/>
      <c r="W244" s="41"/>
      <c r="X244" s="24"/>
      <c r="Y244" s="24"/>
      <c r="Z244" s="24"/>
      <c r="AA244" s="24"/>
    </row>
    <row r="245" spans="1:27" s="55" customFormat="1" ht="13.8" x14ac:dyDescent="0.3">
      <c r="A245" s="38"/>
      <c r="B245" s="50"/>
      <c r="C245" s="51"/>
      <c r="D245" s="31"/>
      <c r="E245" s="38"/>
      <c r="F245" s="38"/>
      <c r="G245" s="38"/>
      <c r="H245" s="38"/>
      <c r="I245" s="38"/>
      <c r="J245" s="39"/>
      <c r="K245" s="57"/>
      <c r="L245" s="57"/>
      <c r="M245" s="23"/>
      <c r="N245" s="23"/>
      <c r="O245" s="24"/>
      <c r="P245" s="41"/>
      <c r="Q245" s="41"/>
      <c r="R245" s="25"/>
      <c r="S245" s="23"/>
      <c r="T245" s="23"/>
      <c r="U245" s="23"/>
      <c r="V245" s="23"/>
      <c r="W245" s="41"/>
      <c r="X245" s="58"/>
      <c r="Y245" s="24"/>
      <c r="Z245" s="24"/>
      <c r="AA245" s="24"/>
    </row>
    <row r="246" spans="1:27" s="55" customFormat="1" x14ac:dyDescent="0.3">
      <c r="A246" s="38"/>
      <c r="B246" s="50"/>
      <c r="C246" s="51"/>
      <c r="D246" s="31"/>
      <c r="E246" s="38"/>
      <c r="F246" s="38"/>
      <c r="G246" s="38"/>
      <c r="H246" s="38"/>
      <c r="I246" s="38"/>
      <c r="J246" s="39"/>
      <c r="K246" s="40"/>
      <c r="L246" s="40"/>
      <c r="M246" s="23"/>
      <c r="N246" s="23"/>
      <c r="O246" s="41"/>
      <c r="P246" s="41"/>
      <c r="Q246" s="41"/>
      <c r="R246" s="25"/>
      <c r="S246" s="23"/>
      <c r="T246" s="23"/>
      <c r="U246" s="23"/>
      <c r="V246" s="23"/>
      <c r="W246" s="41"/>
      <c r="X246" s="24"/>
      <c r="Y246" s="24"/>
      <c r="Z246" s="24"/>
      <c r="AA246" s="24"/>
    </row>
    <row r="247" spans="1:27" s="44" customFormat="1" ht="13.8" x14ac:dyDescent="0.3">
      <c r="A247" s="38"/>
      <c r="B247" s="50"/>
      <c r="C247" s="51"/>
      <c r="D247" s="31"/>
      <c r="E247" s="38"/>
      <c r="F247" s="38"/>
      <c r="G247" s="38"/>
      <c r="H247" s="38"/>
      <c r="I247" s="38"/>
      <c r="J247" s="39"/>
      <c r="K247" s="40"/>
      <c r="L247" s="40"/>
      <c r="M247" s="23"/>
      <c r="N247" s="23"/>
      <c r="O247" s="24"/>
      <c r="P247" s="41"/>
      <c r="Q247" s="41"/>
      <c r="R247" s="25"/>
      <c r="S247" s="23"/>
      <c r="T247" s="23"/>
      <c r="U247" s="23"/>
      <c r="V247" s="23"/>
      <c r="W247" s="41"/>
      <c r="X247" s="24"/>
      <c r="Y247" s="59"/>
      <c r="Z247" s="24"/>
      <c r="AA247" s="24"/>
    </row>
    <row r="248" spans="1:27" x14ac:dyDescent="0.3">
      <c r="C248" s="51"/>
      <c r="D248" s="31"/>
      <c r="J248" s="39"/>
      <c r="K248" s="40"/>
      <c r="L248" s="40"/>
      <c r="M248" s="23"/>
      <c r="N248" s="23"/>
      <c r="P248" s="23"/>
      <c r="Q248" s="23"/>
      <c r="R248" s="25"/>
      <c r="S248" s="23"/>
      <c r="T248" s="23"/>
      <c r="U248" s="23"/>
      <c r="V248" s="23"/>
    </row>
    <row r="249" spans="1:27" x14ac:dyDescent="0.3">
      <c r="C249" s="51"/>
      <c r="D249" s="31"/>
      <c r="J249" s="39"/>
      <c r="K249" s="40"/>
      <c r="L249" s="40"/>
      <c r="M249" s="23"/>
      <c r="N249" s="23"/>
      <c r="P249" s="23"/>
      <c r="Q249" s="23"/>
      <c r="R249" s="25"/>
      <c r="S249" s="23"/>
      <c r="T249" s="23"/>
      <c r="U249" s="23"/>
      <c r="V249" s="23"/>
    </row>
    <row r="250" spans="1:27" x14ac:dyDescent="0.3">
      <c r="C250" s="51"/>
      <c r="D250" s="31"/>
      <c r="J250" s="39"/>
      <c r="K250" s="40"/>
      <c r="L250" s="40"/>
      <c r="M250" s="23"/>
      <c r="N250" s="23"/>
      <c r="P250" s="23"/>
      <c r="Q250" s="23"/>
      <c r="R250" s="25"/>
      <c r="S250" s="23"/>
      <c r="T250" s="23"/>
      <c r="U250" s="23"/>
      <c r="V250" s="23"/>
    </row>
    <row r="251" spans="1:27" x14ac:dyDescent="0.3">
      <c r="C251" s="51"/>
      <c r="D251" s="31"/>
      <c r="J251" s="39"/>
      <c r="K251" s="40"/>
      <c r="L251" s="40"/>
      <c r="M251" s="23"/>
      <c r="N251" s="23"/>
      <c r="Q251" s="41"/>
      <c r="R251" s="25"/>
      <c r="S251" s="23"/>
      <c r="T251" s="23"/>
      <c r="U251" s="23"/>
      <c r="V251" s="23"/>
    </row>
    <row r="252" spans="1:27" x14ac:dyDescent="0.3">
      <c r="C252" s="51"/>
      <c r="D252" s="31"/>
      <c r="J252" s="39"/>
      <c r="K252" s="40"/>
      <c r="L252" s="40"/>
      <c r="M252" s="23"/>
      <c r="N252" s="23"/>
      <c r="Q252" s="41"/>
      <c r="R252" s="25"/>
      <c r="S252" s="23"/>
      <c r="T252" s="23"/>
      <c r="U252" s="23"/>
      <c r="V252" s="23"/>
    </row>
    <row r="253" spans="1:27" x14ac:dyDescent="0.3">
      <c r="C253" s="51"/>
      <c r="D253" s="31"/>
      <c r="J253" s="39"/>
      <c r="K253" s="40"/>
      <c r="L253" s="40"/>
      <c r="M253" s="23"/>
      <c r="N253" s="23"/>
      <c r="Q253" s="41"/>
      <c r="R253" s="25"/>
      <c r="S253" s="23"/>
      <c r="T253" s="23"/>
      <c r="U253" s="23"/>
      <c r="V253" s="23"/>
    </row>
    <row r="254" spans="1:27" x14ac:dyDescent="0.3">
      <c r="C254" s="51"/>
      <c r="D254" s="31"/>
      <c r="J254" s="39"/>
      <c r="K254" s="40"/>
      <c r="L254" s="40"/>
      <c r="M254" s="23"/>
      <c r="N254" s="23"/>
      <c r="Q254" s="41"/>
      <c r="R254" s="25"/>
      <c r="S254" s="23"/>
      <c r="T254" s="23"/>
      <c r="U254" s="23"/>
      <c r="V254" s="23"/>
    </row>
    <row r="255" spans="1:27" x14ac:dyDescent="0.3">
      <c r="C255" s="51"/>
      <c r="D255" s="31"/>
      <c r="J255" s="39"/>
      <c r="K255" s="40"/>
      <c r="L255" s="40"/>
      <c r="M255" s="23"/>
      <c r="N255" s="23"/>
      <c r="Q255" s="41"/>
      <c r="R255" s="25"/>
      <c r="S255" s="23"/>
      <c r="T255" s="23"/>
      <c r="U255" s="23"/>
      <c r="V255" s="23"/>
    </row>
    <row r="256" spans="1:27" x14ac:dyDescent="0.3">
      <c r="C256" s="51"/>
      <c r="D256" s="31"/>
      <c r="J256" s="39"/>
      <c r="K256" s="40"/>
      <c r="L256" s="40"/>
      <c r="M256" s="23"/>
      <c r="N256" s="23"/>
      <c r="Q256" s="41"/>
      <c r="R256" s="25"/>
      <c r="S256" s="23"/>
      <c r="T256" s="23"/>
      <c r="U256" s="23"/>
      <c r="V256" s="23"/>
    </row>
    <row r="257" spans="1:27" x14ac:dyDescent="0.3">
      <c r="C257" s="51"/>
      <c r="D257" s="31"/>
      <c r="J257" s="39"/>
      <c r="K257" s="40"/>
      <c r="L257" s="40"/>
      <c r="M257" s="23"/>
      <c r="N257" s="23"/>
      <c r="Q257" s="41"/>
      <c r="R257" s="25"/>
      <c r="S257" s="23"/>
      <c r="T257" s="23"/>
      <c r="U257" s="23"/>
      <c r="V257" s="23"/>
    </row>
    <row r="258" spans="1:27" x14ac:dyDescent="0.3">
      <c r="C258" s="51"/>
      <c r="D258" s="31"/>
      <c r="J258" s="39"/>
      <c r="K258" s="40"/>
      <c r="L258" s="40"/>
      <c r="M258" s="23"/>
      <c r="N258" s="23"/>
      <c r="Q258" s="41"/>
      <c r="R258" s="25"/>
      <c r="S258" s="23"/>
      <c r="T258" s="23"/>
      <c r="U258" s="23"/>
      <c r="V258" s="23"/>
    </row>
    <row r="259" spans="1:27" x14ac:dyDescent="0.3">
      <c r="C259" s="51"/>
      <c r="D259" s="31"/>
      <c r="J259" s="39"/>
      <c r="K259" s="40"/>
      <c r="L259" s="40"/>
      <c r="M259" s="23"/>
      <c r="N259" s="23"/>
      <c r="Q259" s="41"/>
      <c r="R259" s="25"/>
      <c r="S259" s="23"/>
      <c r="T259" s="23"/>
      <c r="U259" s="23"/>
      <c r="V259" s="23"/>
    </row>
    <row r="260" spans="1:27" x14ac:dyDescent="0.3">
      <c r="C260" s="51"/>
      <c r="D260" s="31"/>
      <c r="J260" s="39"/>
      <c r="K260" s="40"/>
      <c r="L260" s="40"/>
      <c r="M260" s="23"/>
      <c r="N260" s="23"/>
      <c r="Q260" s="41"/>
      <c r="R260" s="25"/>
      <c r="S260" s="23"/>
      <c r="T260" s="23"/>
      <c r="U260" s="23"/>
      <c r="V260" s="23"/>
    </row>
    <row r="261" spans="1:27" s="55" customFormat="1" x14ac:dyDescent="0.3">
      <c r="A261" s="38"/>
      <c r="B261" s="50"/>
      <c r="C261" s="51"/>
      <c r="D261" s="31"/>
      <c r="E261" s="38"/>
      <c r="F261" s="38"/>
      <c r="G261" s="38"/>
      <c r="H261" s="38"/>
      <c r="I261" s="23"/>
      <c r="J261" s="39"/>
      <c r="K261" s="40"/>
      <c r="L261" s="40"/>
      <c r="M261" s="23"/>
      <c r="N261" s="23"/>
      <c r="O261" s="41"/>
      <c r="P261" s="23"/>
      <c r="Q261" s="23"/>
      <c r="R261" s="25"/>
      <c r="S261" s="23"/>
      <c r="T261" s="23"/>
      <c r="U261" s="23"/>
      <c r="V261" s="23"/>
      <c r="W261" s="41"/>
      <c r="X261" s="24"/>
      <c r="Y261" s="24"/>
      <c r="Z261" s="24"/>
      <c r="AA261" s="24"/>
    </row>
    <row r="262" spans="1:27" x14ac:dyDescent="0.3">
      <c r="C262" s="51"/>
      <c r="D262" s="31"/>
      <c r="I262" s="23"/>
      <c r="J262" s="39"/>
      <c r="K262" s="40"/>
      <c r="L262" s="40"/>
      <c r="M262" s="23"/>
      <c r="N262" s="23"/>
      <c r="P262" s="23"/>
      <c r="Q262" s="23"/>
      <c r="R262" s="25"/>
      <c r="S262" s="23"/>
      <c r="T262" s="23"/>
      <c r="U262" s="23"/>
      <c r="V262" s="23"/>
    </row>
    <row r="263" spans="1:27" x14ac:dyDescent="0.3">
      <c r="C263" s="51"/>
      <c r="D263" s="31"/>
      <c r="I263" s="23"/>
      <c r="J263" s="39"/>
      <c r="K263" s="40"/>
      <c r="L263" s="40"/>
      <c r="M263" s="23"/>
      <c r="N263" s="23"/>
      <c r="P263" s="23"/>
      <c r="Q263" s="23"/>
      <c r="R263" s="25"/>
      <c r="S263" s="23"/>
      <c r="T263" s="23"/>
      <c r="U263" s="23"/>
      <c r="V263" s="23"/>
    </row>
    <row r="264" spans="1:27" x14ac:dyDescent="0.3">
      <c r="C264" s="51"/>
      <c r="D264" s="31"/>
      <c r="I264" s="23"/>
      <c r="J264" s="39"/>
      <c r="K264" s="40"/>
      <c r="L264" s="40"/>
      <c r="M264" s="23"/>
      <c r="N264" s="23"/>
      <c r="P264" s="23"/>
      <c r="Q264" s="23"/>
      <c r="R264" s="25"/>
      <c r="S264" s="23"/>
      <c r="T264" s="23"/>
      <c r="U264" s="23"/>
      <c r="V264" s="23"/>
    </row>
    <row r="265" spans="1:27" x14ac:dyDescent="0.3">
      <c r="C265" s="51"/>
      <c r="D265" s="31"/>
      <c r="I265" s="23"/>
      <c r="J265" s="39"/>
      <c r="K265" s="40"/>
      <c r="L265" s="40"/>
      <c r="M265" s="23"/>
      <c r="N265" s="23"/>
      <c r="P265" s="23"/>
      <c r="Q265" s="23"/>
      <c r="R265" s="25"/>
      <c r="S265" s="23"/>
      <c r="T265" s="23"/>
      <c r="U265" s="23"/>
      <c r="V265" s="23"/>
    </row>
    <row r="266" spans="1:27" x14ac:dyDescent="0.3">
      <c r="C266" s="51"/>
      <c r="D266" s="31"/>
      <c r="G266" s="23"/>
      <c r="I266" s="23"/>
      <c r="J266" s="39"/>
      <c r="K266" s="40"/>
      <c r="L266" s="40"/>
      <c r="M266" s="23"/>
      <c r="N266" s="23"/>
      <c r="Q266" s="41"/>
      <c r="R266" s="25"/>
      <c r="S266" s="23"/>
      <c r="T266" s="23"/>
      <c r="U266" s="23"/>
      <c r="V266" s="23"/>
    </row>
    <row r="267" spans="1:27" x14ac:dyDescent="0.3">
      <c r="C267" s="51"/>
      <c r="D267" s="31"/>
      <c r="G267" s="23"/>
      <c r="I267" s="23"/>
      <c r="J267" s="39"/>
      <c r="K267" s="40"/>
      <c r="L267" s="40"/>
      <c r="M267" s="23"/>
      <c r="N267" s="23"/>
      <c r="Q267" s="41"/>
      <c r="R267" s="25"/>
      <c r="S267" s="23"/>
      <c r="T267" s="23"/>
      <c r="U267" s="23"/>
      <c r="V267" s="23"/>
    </row>
    <row r="268" spans="1:27" x14ac:dyDescent="0.3">
      <c r="C268" s="51"/>
      <c r="D268" s="31"/>
      <c r="G268" s="23"/>
      <c r="I268" s="23"/>
      <c r="J268" s="39"/>
      <c r="K268" s="40"/>
      <c r="L268" s="40"/>
      <c r="M268" s="23"/>
      <c r="N268" s="23"/>
      <c r="Q268" s="41"/>
      <c r="R268" s="25"/>
      <c r="S268" s="23"/>
      <c r="T268" s="23"/>
      <c r="U268" s="23"/>
      <c r="V268" s="23"/>
    </row>
    <row r="269" spans="1:27" x14ac:dyDescent="0.3">
      <c r="C269" s="51"/>
      <c r="D269" s="31"/>
      <c r="G269" s="23"/>
      <c r="I269" s="23"/>
      <c r="J269" s="39"/>
      <c r="K269" s="40"/>
      <c r="L269" s="40"/>
      <c r="M269" s="23"/>
      <c r="N269" s="23"/>
      <c r="Q269" s="41"/>
      <c r="R269" s="25"/>
      <c r="S269" s="23"/>
      <c r="T269" s="23"/>
      <c r="U269" s="23"/>
      <c r="V269" s="23"/>
    </row>
    <row r="270" spans="1:27" x14ac:dyDescent="0.3">
      <c r="C270" s="51"/>
      <c r="D270" s="31"/>
      <c r="I270" s="23"/>
      <c r="J270" s="39"/>
      <c r="K270" s="40"/>
      <c r="L270" s="40"/>
      <c r="M270" s="23"/>
      <c r="N270" s="23"/>
      <c r="Q270" s="41"/>
      <c r="R270" s="25"/>
      <c r="S270" s="23"/>
      <c r="T270" s="23"/>
      <c r="U270" s="23"/>
      <c r="V270" s="23"/>
    </row>
    <row r="271" spans="1:27" x14ac:dyDescent="0.3">
      <c r="C271" s="51"/>
      <c r="D271" s="31"/>
      <c r="I271" s="23"/>
      <c r="J271" s="39"/>
      <c r="K271" s="40"/>
      <c r="L271" s="40"/>
      <c r="M271" s="23"/>
      <c r="N271" s="23"/>
      <c r="Q271" s="41"/>
      <c r="R271" s="25"/>
      <c r="S271" s="23"/>
      <c r="T271" s="23"/>
      <c r="U271" s="23"/>
      <c r="V271" s="23"/>
    </row>
    <row r="272" spans="1:27" x14ac:dyDescent="0.3">
      <c r="C272" s="51"/>
      <c r="D272" s="31"/>
      <c r="I272" s="23"/>
      <c r="J272" s="39"/>
      <c r="K272" s="40"/>
      <c r="L272" s="40"/>
      <c r="M272" s="23"/>
      <c r="N272" s="23"/>
      <c r="Q272" s="41"/>
      <c r="R272" s="25"/>
      <c r="S272" s="23"/>
      <c r="T272" s="23"/>
      <c r="U272" s="23"/>
      <c r="V272" s="23"/>
    </row>
    <row r="273" spans="1:27" x14ac:dyDescent="0.3">
      <c r="C273" s="51"/>
      <c r="D273" s="31"/>
      <c r="I273" s="23"/>
      <c r="J273" s="39"/>
      <c r="K273" s="40"/>
      <c r="L273" s="40"/>
      <c r="M273" s="23"/>
      <c r="N273" s="23"/>
      <c r="Q273" s="41"/>
      <c r="R273" s="25"/>
      <c r="S273" s="23"/>
      <c r="T273" s="23"/>
      <c r="U273" s="23"/>
      <c r="V273" s="23"/>
    </row>
    <row r="274" spans="1:27" x14ac:dyDescent="0.3">
      <c r="C274" s="51"/>
      <c r="D274" s="31"/>
      <c r="I274" s="23"/>
      <c r="J274" s="39"/>
      <c r="K274" s="40"/>
      <c r="L274" s="40"/>
      <c r="M274" s="23"/>
      <c r="N274" s="23"/>
      <c r="Q274" s="41"/>
      <c r="R274" s="25"/>
      <c r="S274" s="23"/>
      <c r="T274" s="23"/>
      <c r="U274" s="23"/>
      <c r="V274" s="23"/>
    </row>
    <row r="275" spans="1:27" x14ac:dyDescent="0.3">
      <c r="C275" s="51"/>
      <c r="D275" s="31"/>
      <c r="I275" s="23"/>
      <c r="J275" s="39"/>
      <c r="K275" s="40"/>
      <c r="L275" s="40"/>
      <c r="M275" s="23"/>
      <c r="N275" s="23"/>
      <c r="Q275" s="41"/>
      <c r="R275" s="25"/>
      <c r="S275" s="23"/>
      <c r="T275" s="23"/>
      <c r="U275" s="23"/>
      <c r="V275" s="23"/>
    </row>
    <row r="276" spans="1:27" x14ac:dyDescent="0.3">
      <c r="C276" s="51"/>
      <c r="D276" s="31"/>
      <c r="G276" s="23"/>
      <c r="I276" s="23"/>
      <c r="J276" s="39"/>
      <c r="K276" s="40"/>
      <c r="L276" s="40"/>
      <c r="M276" s="23"/>
      <c r="N276" s="23"/>
      <c r="Q276" s="41"/>
      <c r="R276" s="25"/>
      <c r="S276" s="23"/>
      <c r="T276" s="23"/>
      <c r="U276" s="23"/>
      <c r="V276" s="23"/>
    </row>
    <row r="277" spans="1:27" x14ac:dyDescent="0.3">
      <c r="C277" s="51"/>
      <c r="D277" s="31"/>
      <c r="G277" s="23"/>
      <c r="I277" s="23"/>
      <c r="J277" s="39"/>
      <c r="K277" s="40"/>
      <c r="L277" s="40"/>
      <c r="M277" s="23"/>
      <c r="N277" s="23"/>
      <c r="Q277" s="41"/>
      <c r="R277" s="25"/>
      <c r="S277" s="23"/>
      <c r="T277" s="23"/>
      <c r="U277" s="23"/>
      <c r="V277" s="23"/>
    </row>
    <row r="278" spans="1:27" x14ac:dyDescent="0.3">
      <c r="C278" s="51"/>
      <c r="D278" s="31"/>
      <c r="G278" s="23"/>
      <c r="I278" s="23"/>
      <c r="J278" s="39"/>
      <c r="K278" s="40"/>
      <c r="L278" s="40"/>
      <c r="M278" s="23"/>
      <c r="N278" s="23"/>
      <c r="Q278" s="41"/>
      <c r="R278" s="25"/>
      <c r="S278" s="23"/>
      <c r="T278" s="23"/>
      <c r="U278" s="23"/>
      <c r="V278" s="23"/>
    </row>
    <row r="279" spans="1:27" x14ac:dyDescent="0.3">
      <c r="C279" s="51"/>
      <c r="D279" s="31"/>
      <c r="I279" s="23"/>
      <c r="J279" s="39"/>
      <c r="K279" s="40"/>
      <c r="L279" s="40"/>
      <c r="M279" s="23"/>
      <c r="N279" s="23"/>
      <c r="Q279" s="41"/>
      <c r="R279" s="25"/>
      <c r="S279" s="23"/>
      <c r="T279" s="23"/>
      <c r="U279" s="23"/>
      <c r="V279" s="23"/>
    </row>
    <row r="280" spans="1:27" s="55" customFormat="1" x14ac:dyDescent="0.3">
      <c r="A280" s="38"/>
      <c r="B280" s="50"/>
      <c r="C280" s="51"/>
      <c r="D280" s="31"/>
      <c r="E280" s="38"/>
      <c r="F280" s="38"/>
      <c r="G280" s="38"/>
      <c r="H280" s="38"/>
      <c r="I280" s="23"/>
      <c r="J280" s="39"/>
      <c r="K280" s="40"/>
      <c r="L280" s="40"/>
      <c r="M280" s="23"/>
      <c r="N280" s="23"/>
      <c r="O280" s="41"/>
      <c r="P280" s="41"/>
      <c r="Q280" s="41"/>
      <c r="R280" s="25"/>
      <c r="S280" s="23"/>
      <c r="T280" s="23"/>
      <c r="U280" s="23"/>
      <c r="V280" s="23"/>
      <c r="W280" s="41"/>
      <c r="X280" s="24"/>
      <c r="Y280" s="24"/>
      <c r="Z280" s="24"/>
      <c r="AA280" s="24"/>
    </row>
    <row r="281" spans="1:27" x14ac:dyDescent="0.3">
      <c r="C281" s="51"/>
      <c r="D281" s="31"/>
      <c r="I281" s="23"/>
      <c r="J281" s="39"/>
      <c r="K281" s="40"/>
      <c r="L281" s="40"/>
      <c r="M281" s="23"/>
      <c r="N281" s="23"/>
      <c r="Q281" s="41"/>
      <c r="R281" s="25"/>
      <c r="S281" s="23"/>
      <c r="T281" s="23"/>
      <c r="U281" s="23"/>
      <c r="V281" s="23"/>
    </row>
    <row r="282" spans="1:27" x14ac:dyDescent="0.3">
      <c r="C282" s="51"/>
      <c r="D282" s="31"/>
      <c r="I282" s="23"/>
      <c r="J282" s="39"/>
      <c r="K282" s="40"/>
      <c r="L282" s="40"/>
      <c r="M282" s="23"/>
      <c r="N282" s="23"/>
      <c r="Q282" s="41"/>
      <c r="R282" s="25"/>
      <c r="S282" s="23"/>
      <c r="T282" s="23"/>
      <c r="U282" s="23"/>
      <c r="V282" s="23"/>
    </row>
    <row r="283" spans="1:27" x14ac:dyDescent="0.3">
      <c r="C283" s="51"/>
      <c r="D283" s="31"/>
      <c r="I283" s="23"/>
      <c r="J283" s="39"/>
      <c r="K283" s="40"/>
      <c r="L283" s="40"/>
      <c r="M283" s="23"/>
      <c r="N283" s="23"/>
      <c r="Q283" s="41"/>
      <c r="R283" s="25"/>
      <c r="S283" s="23"/>
      <c r="T283" s="23"/>
      <c r="U283" s="23"/>
      <c r="V283" s="23"/>
    </row>
    <row r="284" spans="1:27" x14ac:dyDescent="0.3">
      <c r="C284" s="51"/>
      <c r="D284" s="31"/>
      <c r="I284" s="23"/>
      <c r="J284" s="39"/>
      <c r="K284" s="40"/>
      <c r="L284" s="40"/>
      <c r="M284" s="23"/>
      <c r="N284" s="23"/>
      <c r="Q284" s="41"/>
      <c r="R284" s="25"/>
      <c r="S284" s="23"/>
      <c r="T284" s="23"/>
      <c r="U284" s="23"/>
      <c r="V284" s="23"/>
    </row>
    <row r="285" spans="1:27" s="44" customFormat="1" x14ac:dyDescent="0.3">
      <c r="A285" s="38"/>
      <c r="B285" s="50"/>
      <c r="C285" s="51"/>
      <c r="D285" s="38"/>
      <c r="E285" s="38"/>
      <c r="F285" s="38"/>
      <c r="G285" s="23"/>
      <c r="H285" s="38"/>
      <c r="I285" s="23"/>
      <c r="J285" s="39"/>
      <c r="K285" s="57"/>
      <c r="L285" s="57"/>
      <c r="M285" s="23"/>
      <c r="N285" s="23"/>
      <c r="O285" s="24"/>
      <c r="P285" s="41"/>
      <c r="Q285" s="25"/>
      <c r="R285" s="25"/>
      <c r="S285" s="23"/>
      <c r="T285" s="23"/>
      <c r="U285" s="23"/>
      <c r="V285" s="23"/>
      <c r="W285" s="41"/>
      <c r="X285" s="24"/>
      <c r="Y285" s="24"/>
      <c r="Z285" s="24"/>
      <c r="AA285" s="24"/>
    </row>
    <row r="286" spans="1:27" s="44" customFormat="1" x14ac:dyDescent="0.3">
      <c r="A286" s="38"/>
      <c r="B286" s="50"/>
      <c r="C286" s="51"/>
      <c r="D286" s="38"/>
      <c r="E286" s="38"/>
      <c r="F286" s="38"/>
      <c r="G286" s="38"/>
      <c r="H286" s="38"/>
      <c r="I286" s="23"/>
      <c r="J286" s="39"/>
      <c r="K286" s="57"/>
      <c r="L286" s="57"/>
      <c r="M286" s="23"/>
      <c r="N286" s="23"/>
      <c r="O286" s="24"/>
      <c r="P286" s="41"/>
      <c r="Q286" s="25"/>
      <c r="R286" s="25"/>
      <c r="S286" s="23"/>
      <c r="T286" s="23"/>
      <c r="U286" s="23"/>
      <c r="V286" s="23"/>
      <c r="W286" s="41"/>
      <c r="X286" s="24"/>
      <c r="Y286" s="24"/>
      <c r="Z286" s="24"/>
      <c r="AA286" s="24"/>
    </row>
    <row r="287" spans="1:27" s="44" customFormat="1" x14ac:dyDescent="0.3">
      <c r="A287" s="38"/>
      <c r="B287" s="50"/>
      <c r="C287" s="51"/>
      <c r="D287" s="31"/>
      <c r="E287" s="38"/>
      <c r="F287" s="38"/>
      <c r="G287" s="38"/>
      <c r="H287" s="38"/>
      <c r="I287" s="23"/>
      <c r="J287" s="39"/>
      <c r="K287" s="40"/>
      <c r="L287" s="40"/>
      <c r="M287" s="23"/>
      <c r="N287" s="23"/>
      <c r="O287" s="41"/>
      <c r="P287" s="23"/>
      <c r="Q287" s="23"/>
      <c r="R287" s="25"/>
      <c r="S287" s="23"/>
      <c r="T287" s="23"/>
      <c r="U287" s="23"/>
      <c r="V287" s="23"/>
      <c r="W287" s="41"/>
      <c r="X287" s="24"/>
      <c r="Y287" s="24"/>
      <c r="Z287" s="24"/>
      <c r="AA287" s="24"/>
    </row>
    <row r="288" spans="1:27" s="44" customFormat="1" x14ac:dyDescent="0.3">
      <c r="A288" s="38"/>
      <c r="B288" s="50"/>
      <c r="C288" s="51"/>
      <c r="D288" s="31"/>
      <c r="E288" s="38"/>
      <c r="F288" s="38"/>
      <c r="G288" s="38"/>
      <c r="H288" s="38"/>
      <c r="I288" s="23"/>
      <c r="J288" s="39"/>
      <c r="K288" s="40"/>
      <c r="L288" s="40"/>
      <c r="M288" s="23"/>
      <c r="N288" s="23"/>
      <c r="O288" s="41"/>
      <c r="P288" s="23"/>
      <c r="Q288" s="23"/>
      <c r="R288" s="25"/>
      <c r="S288" s="23"/>
      <c r="T288" s="23"/>
      <c r="U288" s="23"/>
      <c r="V288" s="23"/>
      <c r="W288" s="41"/>
      <c r="X288" s="24"/>
      <c r="Y288" s="24"/>
      <c r="Z288" s="24"/>
      <c r="AA288" s="24"/>
    </row>
    <row r="289" spans="1:27" s="44" customFormat="1" ht="13.8" x14ac:dyDescent="0.3">
      <c r="A289" s="38"/>
      <c r="B289" s="50"/>
      <c r="C289" s="51"/>
      <c r="D289" s="31"/>
      <c r="E289" s="38"/>
      <c r="F289" s="38"/>
      <c r="G289" s="38"/>
      <c r="H289" s="38"/>
      <c r="I289" s="38"/>
      <c r="J289" s="39"/>
      <c r="K289" s="57"/>
      <c r="L289" s="57"/>
      <c r="M289" s="23"/>
      <c r="N289" s="23"/>
      <c r="O289" s="24"/>
      <c r="P289" s="41"/>
      <c r="Q289" s="41"/>
      <c r="R289" s="25"/>
      <c r="S289" s="23"/>
      <c r="T289" s="23"/>
      <c r="U289" s="23"/>
      <c r="V289" s="23"/>
      <c r="W289" s="41"/>
      <c r="X289" s="58"/>
      <c r="Y289" s="59"/>
      <c r="Z289" s="24"/>
      <c r="AA289" s="24"/>
    </row>
    <row r="290" spans="1:27" x14ac:dyDescent="0.3">
      <c r="C290" s="51"/>
      <c r="D290" s="31"/>
      <c r="J290" s="39"/>
      <c r="K290" s="40"/>
      <c r="L290" s="40"/>
      <c r="M290" s="23"/>
      <c r="N290" s="23"/>
      <c r="P290" s="23"/>
      <c r="Q290" s="23"/>
      <c r="R290" s="25"/>
      <c r="S290" s="23"/>
      <c r="T290" s="23"/>
      <c r="U290" s="23"/>
      <c r="V290" s="23"/>
    </row>
    <row r="291" spans="1:27" x14ac:dyDescent="0.3">
      <c r="C291" s="51"/>
      <c r="D291" s="31"/>
      <c r="J291" s="39"/>
      <c r="K291" s="40"/>
      <c r="L291" s="40"/>
      <c r="M291" s="23"/>
      <c r="N291" s="23"/>
      <c r="P291" s="23"/>
      <c r="Q291" s="23"/>
      <c r="R291" s="25"/>
      <c r="S291" s="23"/>
      <c r="T291" s="23"/>
      <c r="U291" s="23"/>
      <c r="V291" s="23"/>
    </row>
    <row r="292" spans="1:27" x14ac:dyDescent="0.3">
      <c r="C292" s="51"/>
      <c r="D292" s="31"/>
      <c r="J292" s="39"/>
      <c r="K292" s="40"/>
      <c r="L292" s="40"/>
      <c r="M292" s="23"/>
      <c r="N292" s="23"/>
      <c r="P292" s="23"/>
      <c r="Q292" s="23"/>
      <c r="R292" s="25"/>
      <c r="S292" s="23"/>
      <c r="T292" s="23"/>
      <c r="U292" s="23"/>
      <c r="V292" s="23"/>
    </row>
    <row r="293" spans="1:27" x14ac:dyDescent="0.3">
      <c r="C293" s="51"/>
      <c r="D293" s="31"/>
      <c r="J293" s="39"/>
      <c r="K293" s="40"/>
      <c r="L293" s="40"/>
      <c r="M293" s="23"/>
      <c r="N293" s="23"/>
      <c r="P293" s="23"/>
      <c r="Q293" s="23"/>
      <c r="R293" s="25"/>
      <c r="S293" s="23"/>
      <c r="T293" s="23"/>
      <c r="U293" s="23"/>
      <c r="V293" s="23"/>
    </row>
    <row r="294" spans="1:27" x14ac:dyDescent="0.3">
      <c r="C294" s="51"/>
      <c r="D294" s="31"/>
      <c r="J294" s="39"/>
      <c r="K294" s="40"/>
      <c r="L294" s="40"/>
      <c r="M294" s="23"/>
      <c r="N294" s="23"/>
      <c r="Q294" s="41"/>
      <c r="R294" s="25"/>
      <c r="S294" s="23"/>
      <c r="T294" s="23"/>
      <c r="U294" s="23"/>
      <c r="V294" s="23"/>
    </row>
    <row r="295" spans="1:27" x14ac:dyDescent="0.3">
      <c r="C295" s="51"/>
      <c r="D295" s="31"/>
      <c r="J295" s="39"/>
      <c r="K295" s="40"/>
      <c r="L295" s="40"/>
      <c r="M295" s="23"/>
      <c r="N295" s="23"/>
      <c r="Q295" s="41"/>
      <c r="R295" s="25"/>
      <c r="S295" s="23"/>
      <c r="T295" s="23"/>
      <c r="U295" s="23"/>
      <c r="V295" s="23"/>
    </row>
    <row r="296" spans="1:27" s="44" customFormat="1" x14ac:dyDescent="0.3">
      <c r="A296" s="38"/>
      <c r="B296" s="50"/>
      <c r="C296" s="51"/>
      <c r="D296" s="31"/>
      <c r="E296" s="38"/>
      <c r="F296" s="38"/>
      <c r="G296" s="38"/>
      <c r="H296" s="38"/>
      <c r="I296" s="38"/>
      <c r="J296" s="39"/>
      <c r="K296" s="40"/>
      <c r="L296" s="40"/>
      <c r="M296" s="23"/>
      <c r="N296" s="23"/>
      <c r="O296" s="41"/>
      <c r="P296" s="41"/>
      <c r="Q296" s="41"/>
      <c r="R296" s="25"/>
      <c r="S296" s="23"/>
      <c r="T296" s="23"/>
      <c r="U296" s="23"/>
      <c r="V296" s="23"/>
      <c r="W296" s="41"/>
      <c r="X296" s="24"/>
      <c r="Y296" s="24"/>
      <c r="Z296" s="24"/>
      <c r="AA296" s="24"/>
    </row>
    <row r="297" spans="1:27" x14ac:dyDescent="0.3">
      <c r="C297" s="51"/>
      <c r="D297" s="31"/>
      <c r="J297" s="39"/>
      <c r="K297" s="40"/>
      <c r="L297" s="40"/>
      <c r="M297" s="23"/>
      <c r="N297" s="23"/>
      <c r="Q297" s="41"/>
      <c r="R297" s="25"/>
      <c r="S297" s="23"/>
      <c r="T297" s="23"/>
      <c r="U297" s="23"/>
      <c r="V297" s="23"/>
    </row>
    <row r="298" spans="1:27" x14ac:dyDescent="0.3">
      <c r="C298" s="51"/>
      <c r="D298" s="31"/>
      <c r="J298" s="39"/>
      <c r="K298" s="40"/>
      <c r="L298" s="40"/>
      <c r="M298" s="23"/>
      <c r="N298" s="23"/>
      <c r="Q298" s="41"/>
      <c r="R298" s="25"/>
      <c r="S298" s="23"/>
      <c r="T298" s="23"/>
      <c r="U298" s="23"/>
      <c r="V298" s="23"/>
    </row>
    <row r="299" spans="1:27" x14ac:dyDescent="0.3">
      <c r="C299" s="51"/>
      <c r="D299" s="31"/>
      <c r="J299" s="39"/>
      <c r="K299" s="40"/>
      <c r="L299" s="40"/>
      <c r="M299" s="23"/>
      <c r="N299" s="23"/>
      <c r="Q299" s="41"/>
      <c r="R299" s="25"/>
      <c r="S299" s="23"/>
      <c r="T299" s="23"/>
      <c r="U299" s="23"/>
      <c r="V299" s="23"/>
    </row>
    <row r="300" spans="1:27" x14ac:dyDescent="0.3">
      <c r="C300" s="51"/>
      <c r="D300" s="31"/>
      <c r="J300" s="39"/>
      <c r="K300" s="40"/>
      <c r="L300" s="40"/>
      <c r="M300" s="23"/>
      <c r="N300" s="23"/>
      <c r="Q300" s="41"/>
      <c r="R300" s="25"/>
      <c r="S300" s="23"/>
      <c r="T300" s="23"/>
      <c r="U300" s="23"/>
      <c r="V300" s="23"/>
    </row>
    <row r="301" spans="1:27" x14ac:dyDescent="0.3">
      <c r="C301" s="51"/>
      <c r="D301" s="31"/>
      <c r="J301" s="39"/>
      <c r="K301" s="40"/>
      <c r="L301" s="40"/>
      <c r="M301" s="23"/>
      <c r="N301" s="23"/>
      <c r="Q301" s="41"/>
      <c r="R301" s="25"/>
      <c r="S301" s="23"/>
      <c r="T301" s="23"/>
      <c r="U301" s="23"/>
      <c r="V301" s="23"/>
    </row>
    <row r="302" spans="1:27" x14ac:dyDescent="0.3">
      <c r="C302" s="51"/>
      <c r="D302" s="31"/>
      <c r="J302" s="39"/>
      <c r="K302" s="40"/>
      <c r="L302" s="40"/>
      <c r="M302" s="23"/>
      <c r="N302" s="23"/>
      <c r="Q302" s="41"/>
      <c r="R302" s="25"/>
      <c r="S302" s="23"/>
      <c r="T302" s="23"/>
      <c r="U302" s="23"/>
      <c r="V302" s="23"/>
    </row>
    <row r="303" spans="1:27" s="44" customFormat="1" x14ac:dyDescent="0.3">
      <c r="A303" s="38"/>
      <c r="B303" s="50"/>
      <c r="C303" s="51"/>
      <c r="D303" s="31"/>
      <c r="E303" s="38"/>
      <c r="F303" s="38"/>
      <c r="G303" s="38"/>
      <c r="H303" s="38"/>
      <c r="I303" s="38"/>
      <c r="J303" s="39"/>
      <c r="K303" s="57"/>
      <c r="L303" s="57"/>
      <c r="M303" s="23"/>
      <c r="N303" s="23"/>
      <c r="O303" s="24"/>
      <c r="P303" s="41"/>
      <c r="Q303" s="41"/>
      <c r="R303" s="25"/>
      <c r="S303" s="23"/>
      <c r="T303" s="23"/>
      <c r="U303" s="23"/>
      <c r="V303" s="23"/>
      <c r="W303" s="41"/>
      <c r="X303" s="24"/>
      <c r="Y303" s="24"/>
      <c r="Z303" s="24"/>
      <c r="AA303" s="24"/>
    </row>
    <row r="304" spans="1:27" s="44" customFormat="1" x14ac:dyDescent="0.3">
      <c r="A304" s="38"/>
      <c r="B304" s="50"/>
      <c r="C304" s="51"/>
      <c r="D304" s="31"/>
      <c r="E304" s="38"/>
      <c r="F304" s="38"/>
      <c r="G304" s="38"/>
      <c r="H304" s="38"/>
      <c r="I304" s="38"/>
      <c r="J304" s="39"/>
      <c r="K304" s="57"/>
      <c r="L304" s="57"/>
      <c r="M304" s="23"/>
      <c r="N304" s="23"/>
      <c r="O304" s="24"/>
      <c r="P304" s="41"/>
      <c r="Q304" s="41"/>
      <c r="R304" s="25"/>
      <c r="S304" s="23"/>
      <c r="T304" s="23"/>
      <c r="U304" s="23"/>
      <c r="V304" s="23"/>
      <c r="W304" s="41"/>
      <c r="X304" s="24"/>
      <c r="Y304" s="24"/>
      <c r="Z304" s="24"/>
      <c r="AA304" s="24"/>
    </row>
    <row r="305" spans="1:27" s="44" customFormat="1" x14ac:dyDescent="0.3">
      <c r="A305" s="38"/>
      <c r="B305" s="50"/>
      <c r="C305" s="51"/>
      <c r="D305" s="31"/>
      <c r="E305" s="38"/>
      <c r="F305" s="38"/>
      <c r="G305" s="38"/>
      <c r="H305" s="38"/>
      <c r="I305" s="38"/>
      <c r="J305" s="39"/>
      <c r="K305" s="57"/>
      <c r="L305" s="57"/>
      <c r="M305" s="23"/>
      <c r="N305" s="23"/>
      <c r="O305" s="24"/>
      <c r="P305" s="41"/>
      <c r="Q305" s="41"/>
      <c r="R305" s="25"/>
      <c r="S305" s="23"/>
      <c r="T305" s="23"/>
      <c r="U305" s="23"/>
      <c r="V305" s="23"/>
      <c r="W305" s="41"/>
      <c r="X305" s="24"/>
      <c r="Y305" s="24"/>
      <c r="Z305" s="24"/>
      <c r="AA305" s="24"/>
    </row>
    <row r="306" spans="1:27" s="44" customFormat="1" x14ac:dyDescent="0.3">
      <c r="A306" s="38"/>
      <c r="B306" s="50"/>
      <c r="C306" s="51"/>
      <c r="D306" s="31"/>
      <c r="E306" s="38"/>
      <c r="F306" s="38"/>
      <c r="G306" s="38"/>
      <c r="H306" s="38"/>
      <c r="I306" s="38"/>
      <c r="J306" s="39"/>
      <c r="K306" s="57"/>
      <c r="L306" s="57"/>
      <c r="M306" s="23"/>
      <c r="N306" s="23"/>
      <c r="O306" s="24"/>
      <c r="P306" s="41"/>
      <c r="Q306" s="41"/>
      <c r="R306" s="25"/>
      <c r="S306" s="23"/>
      <c r="T306" s="23"/>
      <c r="U306" s="23"/>
      <c r="V306" s="23"/>
      <c r="W306" s="41"/>
      <c r="X306" s="24"/>
      <c r="Y306" s="24"/>
      <c r="Z306" s="24"/>
      <c r="AA306" s="24"/>
    </row>
    <row r="307" spans="1:27" x14ac:dyDescent="0.3">
      <c r="C307" s="51"/>
      <c r="D307" s="31"/>
      <c r="J307" s="39"/>
      <c r="K307" s="40"/>
      <c r="L307" s="40"/>
      <c r="M307" s="23"/>
      <c r="N307" s="23"/>
      <c r="P307" s="23"/>
      <c r="Q307" s="23"/>
      <c r="R307" s="25"/>
      <c r="S307" s="23"/>
      <c r="T307" s="23"/>
      <c r="U307" s="23"/>
      <c r="V307" s="23"/>
    </row>
    <row r="308" spans="1:27" x14ac:dyDescent="0.3">
      <c r="C308" s="51"/>
      <c r="D308" s="31"/>
      <c r="J308" s="39"/>
      <c r="K308" s="40"/>
      <c r="L308" s="40"/>
      <c r="M308" s="23"/>
      <c r="N308" s="23"/>
      <c r="P308" s="23"/>
      <c r="Q308" s="23"/>
      <c r="R308" s="25"/>
      <c r="S308" s="23"/>
      <c r="T308" s="23"/>
      <c r="U308" s="23"/>
      <c r="V308" s="23"/>
    </row>
    <row r="309" spans="1:27" x14ac:dyDescent="0.3">
      <c r="C309" s="51"/>
      <c r="D309" s="31"/>
      <c r="J309" s="39"/>
      <c r="K309" s="40"/>
      <c r="L309" s="40"/>
      <c r="M309" s="23"/>
      <c r="N309" s="23"/>
      <c r="P309" s="23"/>
      <c r="Q309" s="23"/>
      <c r="R309" s="25"/>
      <c r="S309" s="23"/>
      <c r="T309" s="23"/>
      <c r="U309" s="23"/>
      <c r="V309" s="23"/>
    </row>
    <row r="310" spans="1:27" x14ac:dyDescent="0.3">
      <c r="C310" s="51"/>
      <c r="D310" s="31"/>
      <c r="J310" s="39"/>
      <c r="K310" s="40"/>
      <c r="L310" s="40"/>
      <c r="M310" s="23"/>
      <c r="N310" s="23"/>
      <c r="P310" s="23"/>
      <c r="Q310" s="23"/>
      <c r="R310" s="25"/>
      <c r="S310" s="23"/>
      <c r="T310" s="23"/>
      <c r="U310" s="23"/>
      <c r="V310" s="23"/>
    </row>
    <row r="311" spans="1:27" x14ac:dyDescent="0.3">
      <c r="C311" s="51"/>
      <c r="D311" s="31"/>
      <c r="J311" s="39"/>
      <c r="K311" s="40"/>
      <c r="L311" s="40"/>
      <c r="M311" s="23"/>
      <c r="N311" s="23"/>
      <c r="P311" s="23"/>
      <c r="Q311" s="23"/>
      <c r="R311" s="25"/>
      <c r="S311" s="23"/>
      <c r="T311" s="23"/>
      <c r="U311" s="23"/>
      <c r="V311" s="23"/>
    </row>
    <row r="312" spans="1:27" x14ac:dyDescent="0.3">
      <c r="C312" s="51"/>
      <c r="D312" s="31"/>
      <c r="J312" s="39"/>
      <c r="K312" s="40"/>
      <c r="L312" s="40"/>
      <c r="M312" s="23"/>
      <c r="N312" s="23"/>
      <c r="P312" s="23"/>
      <c r="Q312" s="23"/>
      <c r="R312" s="25"/>
      <c r="S312" s="23"/>
      <c r="T312" s="23"/>
      <c r="U312" s="23"/>
      <c r="V312" s="23"/>
    </row>
    <row r="313" spans="1:27" x14ac:dyDescent="0.3">
      <c r="C313" s="51"/>
      <c r="D313" s="31"/>
      <c r="J313" s="39"/>
      <c r="K313" s="40"/>
      <c r="L313" s="40"/>
      <c r="M313" s="23"/>
      <c r="N313" s="23"/>
      <c r="P313" s="23"/>
      <c r="Q313" s="23"/>
      <c r="R313" s="25"/>
      <c r="S313" s="23"/>
      <c r="T313" s="23"/>
      <c r="U313" s="23"/>
      <c r="V313" s="23"/>
    </row>
    <row r="314" spans="1:27" x14ac:dyDescent="0.3">
      <c r="C314" s="51"/>
      <c r="D314" s="31"/>
      <c r="J314" s="39"/>
      <c r="K314" s="40"/>
      <c r="L314" s="40"/>
      <c r="M314" s="23"/>
      <c r="N314" s="23"/>
      <c r="P314" s="23"/>
      <c r="Q314" s="23"/>
      <c r="R314" s="25"/>
      <c r="S314" s="23"/>
      <c r="T314" s="23"/>
      <c r="U314" s="23"/>
      <c r="V314" s="23"/>
    </row>
    <row r="315" spans="1:27" x14ac:dyDescent="0.3">
      <c r="C315" s="51"/>
      <c r="D315" s="31"/>
      <c r="J315" s="39"/>
      <c r="K315" s="40"/>
      <c r="L315" s="40"/>
      <c r="M315" s="23"/>
      <c r="N315" s="23"/>
      <c r="P315" s="23"/>
      <c r="Q315" s="23"/>
      <c r="R315" s="25"/>
      <c r="S315" s="23"/>
      <c r="T315" s="23"/>
      <c r="U315" s="23"/>
      <c r="V315" s="23"/>
    </row>
    <row r="316" spans="1:27" x14ac:dyDescent="0.3">
      <c r="C316" s="51"/>
      <c r="D316" s="31"/>
      <c r="J316" s="39"/>
      <c r="K316" s="40"/>
      <c r="L316" s="40"/>
      <c r="M316" s="23"/>
      <c r="N316" s="23"/>
      <c r="P316" s="23"/>
      <c r="Q316" s="23"/>
      <c r="R316" s="25"/>
      <c r="S316" s="23"/>
      <c r="T316" s="23"/>
      <c r="U316" s="23"/>
      <c r="V316" s="23"/>
    </row>
    <row r="317" spans="1:27" x14ac:dyDescent="0.3">
      <c r="C317" s="51"/>
      <c r="D317" s="31"/>
      <c r="J317" s="39"/>
      <c r="K317" s="40"/>
      <c r="L317" s="40"/>
      <c r="M317" s="23"/>
      <c r="N317" s="23"/>
      <c r="P317" s="23"/>
      <c r="Q317" s="23"/>
      <c r="R317" s="25"/>
      <c r="S317" s="23"/>
      <c r="T317" s="23"/>
      <c r="U317" s="23"/>
      <c r="V317" s="23"/>
    </row>
    <row r="318" spans="1:27" x14ac:dyDescent="0.3">
      <c r="C318" s="51"/>
      <c r="D318" s="31"/>
      <c r="J318" s="39"/>
      <c r="K318" s="40"/>
      <c r="L318" s="40"/>
      <c r="M318" s="23"/>
      <c r="N318" s="23"/>
      <c r="P318" s="23"/>
      <c r="Q318" s="23"/>
      <c r="R318" s="25"/>
      <c r="S318" s="23"/>
      <c r="T318" s="23"/>
      <c r="U318" s="23"/>
      <c r="V318" s="23"/>
    </row>
    <row r="319" spans="1:27" x14ac:dyDescent="0.3">
      <c r="C319" s="51"/>
      <c r="D319" s="31"/>
      <c r="J319" s="39"/>
      <c r="K319" s="40"/>
      <c r="L319" s="40"/>
      <c r="M319" s="23"/>
      <c r="N319" s="23"/>
      <c r="P319" s="23"/>
      <c r="Q319" s="23"/>
      <c r="R319" s="25"/>
      <c r="S319" s="23"/>
      <c r="T319" s="23"/>
      <c r="U319" s="23"/>
      <c r="V319" s="23"/>
    </row>
    <row r="320" spans="1:27" x14ac:dyDescent="0.3">
      <c r="C320" s="51"/>
      <c r="D320" s="31"/>
      <c r="J320" s="39"/>
      <c r="K320" s="40"/>
      <c r="L320" s="40"/>
      <c r="M320" s="23"/>
      <c r="N320" s="23"/>
      <c r="P320" s="23"/>
      <c r="Q320" s="23"/>
      <c r="R320" s="25"/>
      <c r="S320" s="23"/>
      <c r="T320" s="23"/>
      <c r="U320" s="23"/>
      <c r="V320" s="23"/>
    </row>
    <row r="321" spans="1:27" x14ac:dyDescent="0.3">
      <c r="C321" s="51"/>
      <c r="D321" s="31"/>
      <c r="J321" s="39"/>
      <c r="K321" s="40"/>
      <c r="L321" s="40"/>
      <c r="M321" s="23"/>
      <c r="N321" s="23"/>
      <c r="P321" s="23"/>
      <c r="Q321" s="23"/>
      <c r="R321" s="25"/>
      <c r="S321" s="23"/>
      <c r="T321" s="23"/>
      <c r="U321" s="23"/>
      <c r="V321" s="23"/>
    </row>
    <row r="322" spans="1:27" x14ac:dyDescent="0.3">
      <c r="C322" s="51"/>
      <c r="D322" s="31"/>
      <c r="J322" s="39"/>
      <c r="K322" s="40"/>
      <c r="L322" s="40"/>
      <c r="M322" s="23"/>
      <c r="N322" s="23"/>
      <c r="P322" s="23"/>
      <c r="Q322" s="23"/>
      <c r="R322" s="25"/>
      <c r="S322" s="23"/>
      <c r="T322" s="23"/>
      <c r="U322" s="23"/>
      <c r="V322" s="23"/>
    </row>
    <row r="323" spans="1:27" x14ac:dyDescent="0.3">
      <c r="C323" s="51"/>
      <c r="D323" s="31"/>
      <c r="J323" s="39"/>
      <c r="K323" s="40"/>
      <c r="L323" s="40"/>
      <c r="M323" s="23"/>
      <c r="N323" s="23"/>
      <c r="P323" s="23"/>
      <c r="Q323" s="23"/>
      <c r="R323" s="25"/>
      <c r="S323" s="23"/>
      <c r="T323" s="23"/>
      <c r="U323" s="23"/>
      <c r="V323" s="23"/>
    </row>
    <row r="324" spans="1:27" x14ac:dyDescent="0.3">
      <c r="C324" s="51"/>
      <c r="D324" s="31"/>
      <c r="J324" s="39"/>
      <c r="K324" s="40"/>
      <c r="L324" s="40"/>
      <c r="M324" s="23"/>
      <c r="N324" s="23"/>
      <c r="P324" s="23"/>
      <c r="Q324" s="23"/>
      <c r="R324" s="25"/>
      <c r="S324" s="23"/>
      <c r="T324" s="23"/>
      <c r="U324" s="23"/>
      <c r="V324" s="23"/>
    </row>
    <row r="325" spans="1:27" x14ac:dyDescent="0.3">
      <c r="C325" s="51"/>
      <c r="D325" s="31"/>
      <c r="J325" s="39"/>
      <c r="K325" s="40"/>
      <c r="L325" s="40"/>
      <c r="M325" s="23"/>
      <c r="N325" s="23"/>
      <c r="Q325" s="41"/>
      <c r="R325" s="25"/>
      <c r="S325" s="23"/>
      <c r="T325" s="23"/>
      <c r="U325" s="23"/>
      <c r="V325" s="23"/>
    </row>
    <row r="326" spans="1:27" s="55" customFormat="1" x14ac:dyDescent="0.3">
      <c r="A326" s="38"/>
      <c r="B326" s="50"/>
      <c r="C326" s="51"/>
      <c r="D326" s="31"/>
      <c r="E326" s="38"/>
      <c r="F326" s="38"/>
      <c r="G326" s="38"/>
      <c r="H326" s="38"/>
      <c r="I326" s="38"/>
      <c r="J326" s="39"/>
      <c r="K326" s="40"/>
      <c r="L326" s="40"/>
      <c r="M326" s="23"/>
      <c r="N326" s="23"/>
      <c r="O326" s="41"/>
      <c r="P326" s="41"/>
      <c r="Q326" s="41"/>
      <c r="R326" s="25"/>
      <c r="S326" s="23"/>
      <c r="T326" s="23"/>
      <c r="U326" s="23"/>
      <c r="V326" s="23"/>
      <c r="W326" s="41"/>
      <c r="X326" s="24"/>
      <c r="Y326" s="24"/>
      <c r="Z326" s="24"/>
      <c r="AA326" s="24"/>
    </row>
    <row r="327" spans="1:27" x14ac:dyDescent="0.3">
      <c r="C327" s="51"/>
      <c r="D327" s="31"/>
      <c r="J327" s="39"/>
      <c r="K327" s="40"/>
      <c r="L327" s="40"/>
      <c r="M327" s="23"/>
      <c r="N327" s="23"/>
      <c r="Q327" s="41"/>
      <c r="R327" s="25"/>
      <c r="S327" s="23"/>
      <c r="T327" s="23"/>
      <c r="U327" s="23"/>
      <c r="V327" s="23"/>
    </row>
    <row r="328" spans="1:27" x14ac:dyDescent="0.3">
      <c r="C328" s="51"/>
      <c r="D328" s="31"/>
      <c r="J328" s="39"/>
      <c r="K328" s="40"/>
      <c r="L328" s="40"/>
      <c r="M328" s="23"/>
      <c r="N328" s="23"/>
      <c r="Q328" s="41"/>
      <c r="R328" s="25"/>
      <c r="S328" s="23"/>
      <c r="T328" s="23"/>
      <c r="U328" s="23"/>
      <c r="V328" s="23"/>
    </row>
    <row r="329" spans="1:27" x14ac:dyDescent="0.3">
      <c r="C329" s="51"/>
      <c r="D329" s="31"/>
      <c r="J329" s="39"/>
      <c r="K329" s="40"/>
      <c r="L329" s="40"/>
      <c r="M329" s="23"/>
      <c r="N329" s="23"/>
      <c r="Q329" s="41"/>
      <c r="R329" s="25"/>
      <c r="S329" s="23"/>
      <c r="T329" s="23"/>
      <c r="U329" s="23"/>
      <c r="V329" s="23"/>
    </row>
    <row r="330" spans="1:27" x14ac:dyDescent="0.3">
      <c r="C330" s="51"/>
      <c r="D330" s="31"/>
      <c r="J330" s="39"/>
      <c r="K330" s="40"/>
      <c r="L330" s="40"/>
      <c r="M330" s="23"/>
      <c r="N330" s="23"/>
      <c r="Q330" s="41"/>
      <c r="R330" s="25"/>
      <c r="S330" s="23"/>
      <c r="T330" s="23"/>
      <c r="U330" s="23"/>
      <c r="V330" s="23"/>
    </row>
    <row r="331" spans="1:27" x14ac:dyDescent="0.3">
      <c r="C331" s="51"/>
      <c r="D331" s="31"/>
      <c r="J331" s="39"/>
      <c r="K331" s="40"/>
      <c r="L331" s="40"/>
      <c r="M331" s="23"/>
      <c r="N331" s="23"/>
      <c r="Q331" s="41"/>
      <c r="R331" s="25"/>
      <c r="S331" s="23"/>
      <c r="T331" s="23"/>
      <c r="U331" s="23"/>
      <c r="V331" s="23"/>
    </row>
    <row r="332" spans="1:27" x14ac:dyDescent="0.3">
      <c r="C332" s="51"/>
      <c r="D332" s="31"/>
      <c r="J332" s="39"/>
      <c r="K332" s="40"/>
      <c r="L332" s="40"/>
      <c r="M332" s="23"/>
      <c r="N332" s="23"/>
      <c r="Q332" s="41"/>
      <c r="R332" s="25"/>
      <c r="S332" s="23"/>
      <c r="T332" s="23"/>
      <c r="U332" s="23"/>
      <c r="V332" s="23"/>
    </row>
    <row r="333" spans="1:27" x14ac:dyDescent="0.3">
      <c r="C333" s="51"/>
      <c r="D333" s="31"/>
      <c r="J333" s="39"/>
      <c r="K333" s="40"/>
      <c r="L333" s="40"/>
      <c r="M333" s="23"/>
      <c r="N333" s="23"/>
      <c r="Q333" s="41"/>
      <c r="R333" s="25"/>
      <c r="S333" s="23"/>
      <c r="T333" s="23"/>
      <c r="U333" s="23"/>
      <c r="V333" s="23"/>
    </row>
    <row r="334" spans="1:27" s="44" customFormat="1" x14ac:dyDescent="0.3">
      <c r="A334" s="38"/>
      <c r="B334" s="50"/>
      <c r="C334" s="51"/>
      <c r="D334" s="31"/>
      <c r="E334" s="38"/>
      <c r="F334" s="38"/>
      <c r="G334" s="38"/>
      <c r="H334" s="38"/>
      <c r="I334" s="38"/>
      <c r="J334" s="39"/>
      <c r="K334" s="40"/>
      <c r="L334" s="40"/>
      <c r="M334" s="23"/>
      <c r="N334" s="23"/>
      <c r="O334" s="41"/>
      <c r="P334" s="23"/>
      <c r="Q334" s="23"/>
      <c r="R334" s="25"/>
      <c r="S334" s="23"/>
      <c r="T334" s="23"/>
      <c r="U334" s="23"/>
      <c r="V334" s="23"/>
      <c r="W334" s="41"/>
      <c r="X334" s="24"/>
      <c r="Y334" s="24"/>
      <c r="Z334" s="24"/>
      <c r="AA334" s="24"/>
    </row>
    <row r="335" spans="1:27" s="44" customFormat="1" x14ac:dyDescent="0.3">
      <c r="A335" s="38"/>
      <c r="B335" s="50"/>
      <c r="C335" s="51"/>
      <c r="D335" s="31"/>
      <c r="E335" s="38"/>
      <c r="F335" s="38"/>
      <c r="G335" s="38"/>
      <c r="H335" s="38"/>
      <c r="I335" s="38"/>
      <c r="J335" s="39"/>
      <c r="K335" s="40"/>
      <c r="L335" s="40"/>
      <c r="M335" s="23"/>
      <c r="N335" s="23"/>
      <c r="O335" s="41"/>
      <c r="P335" s="23"/>
      <c r="Q335" s="23"/>
      <c r="R335" s="25"/>
      <c r="S335" s="23"/>
      <c r="T335" s="23"/>
      <c r="U335" s="23"/>
      <c r="V335" s="23"/>
      <c r="W335" s="41"/>
      <c r="X335" s="24"/>
      <c r="Y335" s="24"/>
      <c r="Z335" s="24"/>
      <c r="AA335" s="24"/>
    </row>
    <row r="336" spans="1:27" s="44" customFormat="1" x14ac:dyDescent="0.3">
      <c r="A336" s="38"/>
      <c r="B336" s="50"/>
      <c r="C336" s="51"/>
      <c r="D336" s="31"/>
      <c r="E336" s="38"/>
      <c r="F336" s="38"/>
      <c r="G336" s="38"/>
      <c r="H336" s="38"/>
      <c r="I336" s="38"/>
      <c r="J336" s="39"/>
      <c r="K336" s="40"/>
      <c r="L336" s="40"/>
      <c r="M336" s="23"/>
      <c r="N336" s="23"/>
      <c r="O336" s="41"/>
      <c r="P336" s="23"/>
      <c r="Q336" s="23"/>
      <c r="R336" s="25"/>
      <c r="S336" s="23"/>
      <c r="T336" s="23"/>
      <c r="U336" s="23"/>
      <c r="V336" s="23"/>
      <c r="W336" s="41"/>
      <c r="X336" s="24"/>
      <c r="Y336" s="24"/>
      <c r="Z336" s="24"/>
      <c r="AA336" s="24"/>
    </row>
    <row r="337" spans="1:27" s="44" customFormat="1" x14ac:dyDescent="0.3">
      <c r="A337" s="38"/>
      <c r="B337" s="50"/>
      <c r="C337" s="51"/>
      <c r="D337" s="31"/>
      <c r="E337" s="38"/>
      <c r="F337" s="38"/>
      <c r="G337" s="38"/>
      <c r="H337" s="38"/>
      <c r="I337" s="38"/>
      <c r="J337" s="39"/>
      <c r="K337" s="40"/>
      <c r="L337" s="40"/>
      <c r="M337" s="23"/>
      <c r="N337" s="23"/>
      <c r="O337" s="41"/>
      <c r="P337" s="23"/>
      <c r="Q337" s="23"/>
      <c r="R337" s="25"/>
      <c r="S337" s="23"/>
      <c r="T337" s="23"/>
      <c r="U337" s="23"/>
      <c r="V337" s="23"/>
      <c r="W337" s="41"/>
      <c r="X337" s="24"/>
      <c r="Y337" s="24"/>
      <c r="Z337" s="24"/>
      <c r="AA337" s="24"/>
    </row>
    <row r="338" spans="1:27" s="44" customFormat="1" x14ac:dyDescent="0.3">
      <c r="A338" s="38"/>
      <c r="B338" s="50"/>
      <c r="C338" s="51"/>
      <c r="D338" s="31"/>
      <c r="E338" s="38"/>
      <c r="F338" s="38"/>
      <c r="G338" s="38"/>
      <c r="H338" s="38"/>
      <c r="I338" s="38"/>
      <c r="J338" s="39"/>
      <c r="K338" s="40"/>
      <c r="L338" s="40"/>
      <c r="M338" s="23"/>
      <c r="N338" s="23"/>
      <c r="O338" s="41"/>
      <c r="P338" s="23"/>
      <c r="Q338" s="23"/>
      <c r="R338" s="25"/>
      <c r="S338" s="23"/>
      <c r="T338" s="23"/>
      <c r="U338" s="23"/>
      <c r="V338" s="23"/>
      <c r="W338" s="41"/>
      <c r="X338" s="24"/>
      <c r="Y338" s="24"/>
      <c r="Z338" s="24"/>
      <c r="AA338" s="24"/>
    </row>
    <row r="339" spans="1:27" s="44" customFormat="1" x14ac:dyDescent="0.3">
      <c r="A339" s="38"/>
      <c r="B339" s="50"/>
      <c r="C339" s="51"/>
      <c r="D339" s="31"/>
      <c r="E339" s="38"/>
      <c r="F339" s="38"/>
      <c r="G339" s="38"/>
      <c r="H339" s="38"/>
      <c r="I339" s="38"/>
      <c r="J339" s="39"/>
      <c r="K339" s="40"/>
      <c r="L339" s="40"/>
      <c r="M339" s="23"/>
      <c r="N339" s="23"/>
      <c r="O339" s="41"/>
      <c r="P339" s="23"/>
      <c r="Q339" s="23"/>
      <c r="R339" s="25"/>
      <c r="S339" s="23"/>
      <c r="T339" s="23"/>
      <c r="U339" s="23"/>
      <c r="V339" s="23"/>
      <c r="W339" s="41"/>
      <c r="X339" s="24"/>
      <c r="Y339" s="24"/>
      <c r="Z339" s="24"/>
      <c r="AA339" s="24"/>
    </row>
    <row r="340" spans="1:27" s="44" customFormat="1" x14ac:dyDescent="0.3">
      <c r="A340" s="38"/>
      <c r="B340" s="50"/>
      <c r="C340" s="51"/>
      <c r="D340" s="31"/>
      <c r="E340" s="38"/>
      <c r="F340" s="38"/>
      <c r="G340" s="38"/>
      <c r="H340" s="38"/>
      <c r="I340" s="38"/>
      <c r="J340" s="39"/>
      <c r="K340" s="40"/>
      <c r="L340" s="40"/>
      <c r="M340" s="23"/>
      <c r="N340" s="23"/>
      <c r="O340" s="41"/>
      <c r="P340" s="23"/>
      <c r="Q340" s="23"/>
      <c r="R340" s="25"/>
      <c r="S340" s="23"/>
      <c r="T340" s="23"/>
      <c r="U340" s="23"/>
      <c r="V340" s="23"/>
      <c r="W340" s="41"/>
      <c r="X340" s="24"/>
      <c r="Y340" s="24"/>
      <c r="Z340" s="24"/>
      <c r="AA340" s="24"/>
    </row>
    <row r="341" spans="1:27" s="44" customFormat="1" x14ac:dyDescent="0.3">
      <c r="A341" s="38"/>
      <c r="B341" s="50"/>
      <c r="C341" s="51"/>
      <c r="D341" s="31"/>
      <c r="E341" s="38"/>
      <c r="F341" s="38"/>
      <c r="G341" s="38"/>
      <c r="H341" s="38"/>
      <c r="I341" s="38"/>
      <c r="J341" s="39"/>
      <c r="K341" s="40"/>
      <c r="L341" s="40"/>
      <c r="M341" s="23"/>
      <c r="N341" s="23"/>
      <c r="O341" s="41"/>
      <c r="P341" s="23"/>
      <c r="Q341" s="23"/>
      <c r="R341" s="25"/>
      <c r="S341" s="23"/>
      <c r="T341" s="23"/>
      <c r="U341" s="23"/>
      <c r="V341" s="23"/>
      <c r="W341" s="41"/>
      <c r="X341" s="24"/>
      <c r="Y341" s="24"/>
      <c r="Z341" s="24"/>
      <c r="AA341" s="24"/>
    </row>
    <row r="342" spans="1:27" s="44" customFormat="1" x14ac:dyDescent="0.3">
      <c r="A342" s="38"/>
      <c r="B342" s="50"/>
      <c r="C342" s="51"/>
      <c r="D342" s="31"/>
      <c r="E342" s="38"/>
      <c r="F342" s="38"/>
      <c r="G342" s="38"/>
      <c r="H342" s="38"/>
      <c r="I342" s="38"/>
      <c r="J342" s="39"/>
      <c r="K342" s="40"/>
      <c r="L342" s="40"/>
      <c r="M342" s="23"/>
      <c r="N342" s="23"/>
      <c r="O342" s="41"/>
      <c r="P342" s="23"/>
      <c r="Q342" s="23"/>
      <c r="R342" s="25"/>
      <c r="S342" s="23"/>
      <c r="T342" s="23"/>
      <c r="U342" s="23"/>
      <c r="V342" s="23"/>
      <c r="W342" s="41"/>
      <c r="X342" s="24"/>
      <c r="Y342" s="24"/>
      <c r="Z342" s="24"/>
      <c r="AA342" s="24"/>
    </row>
    <row r="343" spans="1:27" s="44" customFormat="1" x14ac:dyDescent="0.3">
      <c r="A343" s="38"/>
      <c r="B343" s="50"/>
      <c r="C343" s="51"/>
      <c r="D343" s="31"/>
      <c r="E343" s="38"/>
      <c r="F343" s="38"/>
      <c r="G343" s="38"/>
      <c r="H343" s="38"/>
      <c r="I343" s="38"/>
      <c r="J343" s="39"/>
      <c r="K343" s="40"/>
      <c r="L343" s="40"/>
      <c r="M343" s="23"/>
      <c r="N343" s="23"/>
      <c r="O343" s="41"/>
      <c r="P343" s="23"/>
      <c r="Q343" s="23"/>
      <c r="R343" s="25"/>
      <c r="S343" s="23"/>
      <c r="T343" s="23"/>
      <c r="U343" s="23"/>
      <c r="V343" s="23"/>
      <c r="W343" s="41"/>
      <c r="X343" s="24"/>
      <c r="Y343" s="24"/>
      <c r="Z343" s="24"/>
      <c r="AA343" s="24"/>
    </row>
    <row r="344" spans="1:27" s="44" customFormat="1" x14ac:dyDescent="0.3">
      <c r="A344" s="38"/>
      <c r="B344" s="50"/>
      <c r="C344" s="51"/>
      <c r="D344" s="31"/>
      <c r="E344" s="38"/>
      <c r="F344" s="38"/>
      <c r="G344" s="38"/>
      <c r="H344" s="38"/>
      <c r="I344" s="38"/>
      <c r="J344" s="39"/>
      <c r="K344" s="40"/>
      <c r="L344" s="40"/>
      <c r="M344" s="23"/>
      <c r="N344" s="23"/>
      <c r="O344" s="41"/>
      <c r="P344" s="23"/>
      <c r="Q344" s="23"/>
      <c r="R344" s="25"/>
      <c r="S344" s="23"/>
      <c r="T344" s="23"/>
      <c r="U344" s="23"/>
      <c r="V344" s="23"/>
      <c r="W344" s="41"/>
      <c r="X344" s="24"/>
      <c r="Y344" s="24"/>
      <c r="Z344" s="24"/>
      <c r="AA344" s="24"/>
    </row>
    <row r="345" spans="1:27" s="44" customFormat="1" x14ac:dyDescent="0.3">
      <c r="A345" s="38"/>
      <c r="B345" s="50"/>
      <c r="C345" s="51"/>
      <c r="D345" s="31"/>
      <c r="E345" s="38"/>
      <c r="F345" s="38"/>
      <c r="G345" s="38"/>
      <c r="H345" s="38"/>
      <c r="I345" s="38"/>
      <c r="J345" s="39"/>
      <c r="K345" s="40"/>
      <c r="L345" s="40"/>
      <c r="M345" s="23"/>
      <c r="N345" s="23"/>
      <c r="O345" s="41"/>
      <c r="P345" s="23"/>
      <c r="Q345" s="23"/>
      <c r="R345" s="25"/>
      <c r="S345" s="23"/>
      <c r="T345" s="23"/>
      <c r="U345" s="23"/>
      <c r="V345" s="23"/>
      <c r="W345" s="41"/>
      <c r="X345" s="24"/>
      <c r="Y345" s="24"/>
      <c r="Z345" s="24"/>
      <c r="AA345" s="24"/>
    </row>
    <row r="346" spans="1:27" s="44" customFormat="1" x14ac:dyDescent="0.3">
      <c r="A346" s="38"/>
      <c r="B346" s="50"/>
      <c r="C346" s="51"/>
      <c r="D346" s="31"/>
      <c r="E346" s="38"/>
      <c r="F346" s="38"/>
      <c r="G346" s="38"/>
      <c r="H346" s="38"/>
      <c r="I346" s="38"/>
      <c r="J346" s="39"/>
      <c r="K346" s="40"/>
      <c r="L346" s="40"/>
      <c r="M346" s="23"/>
      <c r="N346" s="23"/>
      <c r="O346" s="41"/>
      <c r="P346" s="23"/>
      <c r="Q346" s="23"/>
      <c r="R346" s="25"/>
      <c r="S346" s="23"/>
      <c r="T346" s="23"/>
      <c r="U346" s="23"/>
      <c r="V346" s="23"/>
      <c r="W346" s="41"/>
      <c r="X346" s="24"/>
      <c r="Y346" s="24"/>
      <c r="Z346" s="24"/>
      <c r="AA346" s="24"/>
    </row>
    <row r="347" spans="1:27" s="44" customFormat="1" x14ac:dyDescent="0.3">
      <c r="A347" s="38"/>
      <c r="B347" s="50"/>
      <c r="C347" s="51"/>
      <c r="D347" s="38"/>
      <c r="E347" s="38"/>
      <c r="F347" s="38"/>
      <c r="G347" s="38"/>
      <c r="H347" s="38"/>
      <c r="I347" s="38"/>
      <c r="J347" s="56"/>
      <c r="K347" s="57"/>
      <c r="L347" s="57"/>
      <c r="M347" s="23"/>
      <c r="N347" s="23"/>
      <c r="O347" s="41"/>
      <c r="P347" s="41"/>
      <c r="Q347" s="41"/>
      <c r="R347" s="25"/>
      <c r="S347" s="23"/>
      <c r="T347" s="23"/>
      <c r="U347" s="23"/>
      <c r="V347" s="23"/>
      <c r="W347" s="41"/>
      <c r="X347" s="24"/>
      <c r="Y347" s="24"/>
      <c r="Z347" s="24"/>
      <c r="AA347" s="24"/>
    </row>
    <row r="348" spans="1:27" s="44" customFormat="1" x14ac:dyDescent="0.3">
      <c r="A348" s="38"/>
      <c r="B348" s="50"/>
      <c r="C348" s="51"/>
      <c r="D348" s="31"/>
      <c r="E348" s="38"/>
      <c r="F348" s="38"/>
      <c r="G348" s="38"/>
      <c r="H348" s="38"/>
      <c r="I348" s="38"/>
      <c r="J348" s="39"/>
      <c r="K348" s="40"/>
      <c r="L348" s="40"/>
      <c r="M348" s="23"/>
      <c r="N348" s="23"/>
      <c r="O348" s="41"/>
      <c r="P348" s="41"/>
      <c r="Q348" s="41"/>
      <c r="R348" s="25"/>
      <c r="S348" s="23"/>
      <c r="T348" s="23"/>
      <c r="U348" s="23"/>
      <c r="V348" s="23"/>
      <c r="W348" s="41"/>
      <c r="X348" s="24"/>
      <c r="Y348" s="24"/>
      <c r="Z348" s="24"/>
      <c r="AA348" s="24"/>
    </row>
    <row r="349" spans="1:27" s="44" customFormat="1" x14ac:dyDescent="0.3">
      <c r="A349" s="38"/>
      <c r="B349" s="50"/>
      <c r="C349" s="51"/>
      <c r="D349" s="31"/>
      <c r="E349" s="38"/>
      <c r="F349" s="38"/>
      <c r="G349" s="38"/>
      <c r="H349" s="38"/>
      <c r="I349" s="38"/>
      <c r="J349" s="39"/>
      <c r="K349" s="40"/>
      <c r="L349" s="40"/>
      <c r="M349" s="23"/>
      <c r="N349" s="23"/>
      <c r="O349" s="41"/>
      <c r="P349" s="41"/>
      <c r="Q349" s="41"/>
      <c r="R349" s="25"/>
      <c r="S349" s="23"/>
      <c r="T349" s="23"/>
      <c r="U349" s="23"/>
      <c r="V349" s="23"/>
      <c r="W349" s="41"/>
      <c r="X349" s="24"/>
      <c r="Y349" s="24"/>
      <c r="Z349" s="24"/>
      <c r="AA349" s="24"/>
    </row>
    <row r="350" spans="1:27" x14ac:dyDescent="0.3">
      <c r="C350" s="51"/>
      <c r="D350" s="31"/>
      <c r="J350" s="39"/>
      <c r="K350" s="40"/>
      <c r="L350" s="40"/>
      <c r="M350" s="23"/>
      <c r="N350" s="23"/>
      <c r="Q350" s="41"/>
      <c r="R350" s="25"/>
      <c r="S350" s="23"/>
      <c r="T350" s="23"/>
      <c r="U350" s="23"/>
      <c r="V350" s="23"/>
    </row>
    <row r="351" spans="1:27" s="44" customFormat="1" x14ac:dyDescent="0.3">
      <c r="A351" s="38"/>
      <c r="B351" s="50"/>
      <c r="C351" s="51"/>
      <c r="D351" s="31"/>
      <c r="E351" s="38"/>
      <c r="F351" s="38"/>
      <c r="G351" s="38"/>
      <c r="H351" s="38"/>
      <c r="I351" s="38"/>
      <c r="J351" s="39"/>
      <c r="K351" s="40"/>
      <c r="L351" s="40"/>
      <c r="M351" s="23"/>
      <c r="N351" s="23"/>
      <c r="O351" s="41"/>
      <c r="P351" s="41"/>
      <c r="Q351" s="41"/>
      <c r="R351" s="25"/>
      <c r="S351" s="23"/>
      <c r="T351" s="23"/>
      <c r="U351" s="23"/>
      <c r="V351" s="23"/>
      <c r="W351" s="41"/>
      <c r="X351" s="24"/>
      <c r="Y351" s="24"/>
      <c r="Z351" s="24"/>
      <c r="AA351" s="24"/>
    </row>
    <row r="352" spans="1:27" s="44" customFormat="1" x14ac:dyDescent="0.3">
      <c r="A352" s="38"/>
      <c r="B352" s="50"/>
      <c r="C352" s="51"/>
      <c r="D352" s="31"/>
      <c r="E352" s="38"/>
      <c r="F352" s="38"/>
      <c r="G352" s="38"/>
      <c r="H352" s="38"/>
      <c r="I352" s="38"/>
      <c r="J352" s="39"/>
      <c r="K352" s="40"/>
      <c r="L352" s="40"/>
      <c r="M352" s="23"/>
      <c r="N352" s="23"/>
      <c r="O352" s="41"/>
      <c r="P352" s="41"/>
      <c r="Q352" s="41"/>
      <c r="R352" s="25"/>
      <c r="S352" s="23"/>
      <c r="T352" s="23"/>
      <c r="U352" s="23"/>
      <c r="V352" s="23"/>
      <c r="W352" s="41"/>
      <c r="X352" s="24"/>
      <c r="Y352" s="24"/>
      <c r="Z352" s="24"/>
      <c r="AA352" s="24"/>
    </row>
    <row r="353" spans="1:27" s="44" customFormat="1" x14ac:dyDescent="0.3">
      <c r="A353" s="38"/>
      <c r="B353" s="50"/>
      <c r="C353" s="51"/>
      <c r="D353" s="31"/>
      <c r="E353" s="38"/>
      <c r="F353" s="38"/>
      <c r="G353" s="38"/>
      <c r="H353" s="38"/>
      <c r="I353" s="38"/>
      <c r="J353" s="39"/>
      <c r="K353" s="40"/>
      <c r="L353" s="40"/>
      <c r="M353" s="23"/>
      <c r="N353" s="23"/>
      <c r="O353" s="41"/>
      <c r="P353" s="41"/>
      <c r="Q353" s="41"/>
      <c r="R353" s="25"/>
      <c r="S353" s="23"/>
      <c r="T353" s="23"/>
      <c r="U353" s="23"/>
      <c r="V353" s="23"/>
      <c r="W353" s="41"/>
      <c r="X353" s="24"/>
      <c r="Y353" s="24"/>
      <c r="Z353" s="24"/>
      <c r="AA353" s="24"/>
    </row>
    <row r="354" spans="1:27" x14ac:dyDescent="0.3">
      <c r="C354" s="51"/>
      <c r="D354" s="31"/>
      <c r="J354" s="39"/>
      <c r="K354" s="40"/>
      <c r="L354" s="40"/>
      <c r="M354" s="23"/>
      <c r="N354" s="23"/>
      <c r="Q354" s="41"/>
      <c r="R354" s="25"/>
      <c r="S354" s="23"/>
      <c r="T354" s="23"/>
      <c r="U354" s="23"/>
      <c r="V354" s="23"/>
    </row>
    <row r="355" spans="1:27" s="44" customFormat="1" x14ac:dyDescent="0.3">
      <c r="A355" s="38"/>
      <c r="B355" s="50"/>
      <c r="C355" s="51"/>
      <c r="D355" s="31"/>
      <c r="E355" s="38"/>
      <c r="F355" s="38"/>
      <c r="G355" s="38"/>
      <c r="H355" s="38"/>
      <c r="I355" s="38"/>
      <c r="J355" s="39"/>
      <c r="K355" s="40"/>
      <c r="L355" s="40"/>
      <c r="M355" s="23"/>
      <c r="N355" s="23"/>
      <c r="O355" s="41"/>
      <c r="P355" s="41"/>
      <c r="Q355" s="41"/>
      <c r="R355" s="25"/>
      <c r="S355" s="23"/>
      <c r="T355" s="23"/>
      <c r="U355" s="23"/>
      <c r="V355" s="23"/>
      <c r="W355" s="41"/>
      <c r="X355" s="24"/>
      <c r="Y355" s="24"/>
      <c r="Z355" s="24"/>
      <c r="AA355" s="24"/>
    </row>
    <row r="356" spans="1:27" s="44" customFormat="1" x14ac:dyDescent="0.3">
      <c r="A356" s="38"/>
      <c r="B356" s="50"/>
      <c r="C356" s="51"/>
      <c r="D356" s="31"/>
      <c r="E356" s="38"/>
      <c r="F356" s="38"/>
      <c r="G356" s="38"/>
      <c r="H356" s="38"/>
      <c r="I356" s="38"/>
      <c r="J356" s="39"/>
      <c r="K356" s="40"/>
      <c r="L356" s="40"/>
      <c r="M356" s="23"/>
      <c r="N356" s="23"/>
      <c r="O356" s="41"/>
      <c r="P356" s="41"/>
      <c r="Q356" s="41"/>
      <c r="R356" s="25"/>
      <c r="S356" s="23"/>
      <c r="T356" s="23"/>
      <c r="U356" s="23"/>
      <c r="V356" s="23"/>
      <c r="W356" s="41"/>
      <c r="X356" s="24"/>
      <c r="Y356" s="24"/>
      <c r="Z356" s="24"/>
      <c r="AA356" s="24"/>
    </row>
    <row r="357" spans="1:27" x14ac:dyDescent="0.3">
      <c r="C357" s="51"/>
      <c r="D357" s="31"/>
      <c r="J357" s="39"/>
      <c r="K357" s="40"/>
      <c r="L357" s="40"/>
      <c r="M357" s="23"/>
      <c r="N357" s="23"/>
      <c r="Q357" s="41"/>
      <c r="R357" s="25"/>
      <c r="S357" s="23"/>
      <c r="T357" s="23"/>
      <c r="U357" s="23"/>
      <c r="V357" s="23"/>
    </row>
    <row r="358" spans="1:27" x14ac:dyDescent="0.3">
      <c r="C358" s="51"/>
      <c r="D358" s="31"/>
      <c r="J358" s="39"/>
      <c r="K358" s="40"/>
      <c r="L358" s="40"/>
      <c r="M358" s="23"/>
      <c r="N358" s="23"/>
      <c r="Q358" s="41"/>
      <c r="R358" s="25"/>
      <c r="S358" s="23"/>
      <c r="T358" s="23"/>
      <c r="U358" s="23"/>
      <c r="V358" s="23"/>
    </row>
    <row r="359" spans="1:27" x14ac:dyDescent="0.3">
      <c r="C359" s="51"/>
      <c r="D359" s="31"/>
      <c r="J359" s="39"/>
      <c r="K359" s="40"/>
      <c r="L359" s="40"/>
      <c r="M359" s="23"/>
      <c r="N359" s="23"/>
      <c r="Q359" s="41"/>
      <c r="R359" s="25"/>
      <c r="S359" s="23"/>
      <c r="T359" s="23"/>
      <c r="U359" s="23"/>
      <c r="V359" s="23"/>
    </row>
    <row r="360" spans="1:27" x14ac:dyDescent="0.3">
      <c r="C360" s="51"/>
      <c r="D360" s="31"/>
      <c r="J360" s="39"/>
      <c r="K360" s="40"/>
      <c r="L360" s="40"/>
      <c r="M360" s="23"/>
      <c r="N360" s="23"/>
      <c r="Q360" s="41"/>
      <c r="R360" s="25"/>
      <c r="S360" s="23"/>
      <c r="T360" s="23"/>
      <c r="U360" s="23"/>
      <c r="V360" s="23"/>
    </row>
    <row r="361" spans="1:27" x14ac:dyDescent="0.3">
      <c r="C361" s="51"/>
      <c r="D361" s="31"/>
      <c r="J361" s="39"/>
      <c r="K361" s="40"/>
      <c r="L361" s="40"/>
      <c r="M361" s="23"/>
      <c r="N361" s="23"/>
      <c r="Q361" s="41"/>
      <c r="R361" s="25"/>
      <c r="S361" s="23"/>
      <c r="T361" s="23"/>
      <c r="U361" s="23"/>
      <c r="V361" s="23"/>
    </row>
    <row r="362" spans="1:27" x14ac:dyDescent="0.3">
      <c r="C362" s="51"/>
      <c r="D362" s="31"/>
      <c r="J362" s="39"/>
      <c r="K362" s="40"/>
      <c r="L362" s="40"/>
      <c r="M362" s="23"/>
      <c r="N362" s="23"/>
      <c r="Q362" s="41"/>
      <c r="R362" s="25"/>
      <c r="S362" s="23"/>
      <c r="T362" s="23"/>
      <c r="U362" s="23"/>
      <c r="V362" s="23"/>
    </row>
    <row r="363" spans="1:27" x14ac:dyDescent="0.3">
      <c r="C363" s="51"/>
      <c r="D363" s="31"/>
      <c r="J363" s="39"/>
      <c r="K363" s="40"/>
      <c r="L363" s="40"/>
      <c r="M363" s="23"/>
      <c r="N363" s="23"/>
      <c r="Q363" s="41"/>
      <c r="R363" s="25"/>
      <c r="S363" s="23"/>
      <c r="T363" s="23"/>
      <c r="U363" s="23"/>
      <c r="V363" s="23"/>
    </row>
    <row r="364" spans="1:27" x14ac:dyDescent="0.3">
      <c r="C364" s="51"/>
      <c r="D364" s="31"/>
      <c r="J364" s="39"/>
      <c r="K364" s="40"/>
      <c r="L364" s="40"/>
      <c r="M364" s="23"/>
      <c r="N364" s="23"/>
      <c r="P364" s="23"/>
      <c r="Q364" s="23"/>
      <c r="R364" s="25"/>
      <c r="S364" s="23"/>
      <c r="T364" s="23"/>
      <c r="U364" s="23"/>
      <c r="V364" s="23"/>
    </row>
    <row r="365" spans="1:27" x14ac:dyDescent="0.3">
      <c r="C365" s="51"/>
      <c r="D365" s="31"/>
      <c r="J365" s="39"/>
      <c r="K365" s="40"/>
      <c r="L365" s="40"/>
      <c r="M365" s="23"/>
      <c r="N365" s="23"/>
      <c r="P365" s="23"/>
      <c r="Q365" s="23"/>
      <c r="R365" s="25"/>
      <c r="S365" s="23"/>
      <c r="T365" s="23"/>
      <c r="U365" s="23"/>
      <c r="V365" s="23"/>
    </row>
    <row r="366" spans="1:27" x14ac:dyDescent="0.3">
      <c r="C366" s="51"/>
      <c r="D366" s="31"/>
      <c r="J366" s="39"/>
      <c r="K366" s="40"/>
      <c r="L366" s="40"/>
      <c r="M366" s="23"/>
      <c r="N366" s="23"/>
      <c r="P366" s="23"/>
      <c r="Q366" s="23"/>
      <c r="R366" s="25"/>
      <c r="S366" s="23"/>
      <c r="T366" s="23"/>
      <c r="U366" s="23"/>
      <c r="V366" s="23"/>
    </row>
    <row r="367" spans="1:27" x14ac:dyDescent="0.3">
      <c r="C367" s="51"/>
      <c r="D367" s="31"/>
      <c r="J367" s="39"/>
      <c r="K367" s="40"/>
      <c r="L367" s="40"/>
      <c r="M367" s="23"/>
      <c r="N367" s="23"/>
      <c r="P367" s="23"/>
      <c r="Q367" s="23"/>
      <c r="R367" s="25"/>
      <c r="S367" s="23"/>
      <c r="T367" s="23"/>
      <c r="U367" s="23"/>
      <c r="V367" s="23"/>
    </row>
    <row r="368" spans="1:27" x14ac:dyDescent="0.3">
      <c r="C368" s="51"/>
      <c r="D368" s="31"/>
      <c r="J368" s="39"/>
      <c r="K368" s="40"/>
      <c r="L368" s="40"/>
      <c r="M368" s="23"/>
      <c r="N368" s="23"/>
      <c r="P368" s="23"/>
      <c r="Q368" s="23"/>
      <c r="R368" s="25"/>
      <c r="S368" s="23"/>
      <c r="T368" s="23"/>
      <c r="U368" s="23"/>
      <c r="V368" s="23"/>
    </row>
    <row r="369" spans="1:27" x14ac:dyDescent="0.3">
      <c r="C369" s="51"/>
      <c r="D369" s="31"/>
      <c r="J369" s="39"/>
      <c r="K369" s="40"/>
      <c r="L369" s="40"/>
      <c r="M369" s="23"/>
      <c r="N369" s="23"/>
      <c r="P369" s="23"/>
      <c r="Q369" s="23"/>
      <c r="R369" s="25"/>
      <c r="S369" s="23"/>
      <c r="T369" s="23"/>
      <c r="U369" s="23"/>
      <c r="V369" s="23"/>
    </row>
    <row r="370" spans="1:27" x14ac:dyDescent="0.3">
      <c r="C370" s="51"/>
      <c r="D370" s="31"/>
      <c r="J370" s="39"/>
      <c r="K370" s="40"/>
      <c r="L370" s="40"/>
      <c r="M370" s="23"/>
      <c r="N370" s="23"/>
      <c r="P370" s="23"/>
      <c r="Q370" s="23"/>
      <c r="R370" s="25"/>
      <c r="S370" s="23"/>
      <c r="T370" s="23"/>
      <c r="U370" s="23"/>
      <c r="V370" s="23"/>
    </row>
    <row r="371" spans="1:27" x14ac:dyDescent="0.3">
      <c r="C371" s="51"/>
      <c r="D371" s="31"/>
      <c r="J371" s="39"/>
      <c r="K371" s="40"/>
      <c r="L371" s="40"/>
      <c r="M371" s="23"/>
      <c r="N371" s="23"/>
      <c r="P371" s="23"/>
      <c r="Q371" s="23"/>
      <c r="R371" s="25"/>
      <c r="S371" s="23"/>
      <c r="T371" s="23"/>
      <c r="U371" s="23"/>
      <c r="V371" s="23"/>
    </row>
    <row r="372" spans="1:27" s="44" customFormat="1" x14ac:dyDescent="0.3">
      <c r="A372" s="38"/>
      <c r="B372" s="50"/>
      <c r="C372" s="51"/>
      <c r="D372" s="31"/>
      <c r="E372" s="38"/>
      <c r="F372" s="38"/>
      <c r="G372" s="38"/>
      <c r="H372" s="38"/>
      <c r="I372" s="38"/>
      <c r="J372" s="39"/>
      <c r="K372" s="40"/>
      <c r="L372" s="40"/>
      <c r="M372" s="23"/>
      <c r="N372" s="23"/>
      <c r="O372" s="41"/>
      <c r="P372" s="41"/>
      <c r="Q372" s="41"/>
      <c r="R372" s="25"/>
      <c r="S372" s="23"/>
      <c r="T372" s="23"/>
      <c r="U372" s="23"/>
      <c r="V372" s="23"/>
      <c r="W372" s="41"/>
      <c r="X372" s="24"/>
      <c r="Y372" s="24"/>
      <c r="Z372" s="24"/>
      <c r="AA372" s="24"/>
    </row>
    <row r="373" spans="1:27" s="44" customFormat="1" x14ac:dyDescent="0.3">
      <c r="A373" s="38"/>
      <c r="B373" s="50"/>
      <c r="C373" s="51"/>
      <c r="D373" s="31"/>
      <c r="E373" s="38"/>
      <c r="F373" s="38"/>
      <c r="G373" s="38"/>
      <c r="H373" s="38"/>
      <c r="I373" s="38"/>
      <c r="J373" s="39"/>
      <c r="K373" s="40"/>
      <c r="L373" s="40"/>
      <c r="M373" s="23"/>
      <c r="N373" s="23"/>
      <c r="O373" s="41"/>
      <c r="P373" s="41"/>
      <c r="Q373" s="41"/>
      <c r="R373" s="25"/>
      <c r="S373" s="23"/>
      <c r="T373" s="23"/>
      <c r="U373" s="23"/>
      <c r="V373" s="23"/>
      <c r="W373" s="41"/>
      <c r="X373" s="24"/>
      <c r="Y373" s="24"/>
      <c r="Z373" s="24"/>
      <c r="AA373" s="24"/>
    </row>
    <row r="374" spans="1:27" x14ac:dyDescent="0.3">
      <c r="C374" s="51"/>
      <c r="D374" s="31"/>
      <c r="J374" s="39"/>
      <c r="K374" s="40"/>
      <c r="L374" s="40"/>
      <c r="M374" s="23"/>
      <c r="N374" s="23"/>
      <c r="P374" s="23"/>
      <c r="Q374" s="23"/>
      <c r="R374" s="25"/>
      <c r="S374" s="23"/>
      <c r="T374" s="23"/>
      <c r="U374" s="23"/>
      <c r="V374" s="23"/>
    </row>
    <row r="375" spans="1:27" x14ac:dyDescent="0.3">
      <c r="C375" s="51"/>
      <c r="D375" s="31"/>
      <c r="J375" s="39"/>
      <c r="K375" s="40"/>
      <c r="L375" s="40"/>
      <c r="M375" s="23"/>
      <c r="N375" s="23"/>
      <c r="P375" s="23"/>
      <c r="Q375" s="23"/>
      <c r="R375" s="25"/>
      <c r="S375" s="23"/>
      <c r="T375" s="23"/>
      <c r="U375" s="23"/>
      <c r="V375" s="23"/>
    </row>
    <row r="376" spans="1:27" s="44" customFormat="1" x14ac:dyDescent="0.3">
      <c r="A376" s="38"/>
      <c r="B376" s="50"/>
      <c r="C376" s="51"/>
      <c r="D376" s="31"/>
      <c r="E376" s="38"/>
      <c r="F376" s="38"/>
      <c r="G376" s="38"/>
      <c r="H376" s="38"/>
      <c r="I376" s="38"/>
      <c r="J376" s="39"/>
      <c r="K376" s="40"/>
      <c r="L376" s="40"/>
      <c r="M376" s="23"/>
      <c r="N376" s="23"/>
      <c r="O376" s="41"/>
      <c r="P376" s="23"/>
      <c r="Q376" s="23"/>
      <c r="R376" s="25"/>
      <c r="S376" s="23"/>
      <c r="T376" s="23"/>
      <c r="U376" s="23"/>
      <c r="V376" s="23"/>
      <c r="W376" s="41"/>
      <c r="X376" s="24"/>
      <c r="Y376" s="24"/>
      <c r="Z376" s="24"/>
      <c r="AA376" s="24"/>
    </row>
    <row r="377" spans="1:27" s="44" customFormat="1" x14ac:dyDescent="0.3">
      <c r="A377" s="38"/>
      <c r="B377" s="50"/>
      <c r="C377" s="51"/>
      <c r="D377" s="31"/>
      <c r="E377" s="38"/>
      <c r="F377" s="38"/>
      <c r="G377" s="38"/>
      <c r="H377" s="38"/>
      <c r="I377" s="38"/>
      <c r="J377" s="39"/>
      <c r="K377" s="40"/>
      <c r="L377" s="40"/>
      <c r="M377" s="23"/>
      <c r="N377" s="23"/>
      <c r="O377" s="41"/>
      <c r="P377" s="23"/>
      <c r="Q377" s="23"/>
      <c r="R377" s="25"/>
      <c r="S377" s="23"/>
      <c r="T377" s="23"/>
      <c r="U377" s="23"/>
      <c r="V377" s="23"/>
      <c r="W377" s="41"/>
      <c r="X377" s="24"/>
      <c r="Y377" s="24"/>
      <c r="Z377" s="24"/>
      <c r="AA377" s="24"/>
    </row>
    <row r="378" spans="1:27" x14ac:dyDescent="0.3">
      <c r="C378" s="51"/>
      <c r="D378" s="31"/>
      <c r="J378" s="39"/>
      <c r="K378" s="40"/>
      <c r="L378" s="40"/>
      <c r="M378" s="23"/>
      <c r="N378" s="23"/>
      <c r="P378" s="23"/>
      <c r="Q378" s="23"/>
      <c r="R378" s="25"/>
      <c r="S378" s="23"/>
      <c r="T378" s="23"/>
      <c r="U378" s="23"/>
      <c r="V378" s="23"/>
    </row>
    <row r="379" spans="1:27" s="44" customFormat="1" x14ac:dyDescent="0.3">
      <c r="A379" s="38"/>
      <c r="B379" s="50"/>
      <c r="C379" s="51"/>
      <c r="D379" s="31"/>
      <c r="E379" s="38"/>
      <c r="F379" s="38"/>
      <c r="G379" s="38"/>
      <c r="H379" s="38"/>
      <c r="I379" s="38"/>
      <c r="J379" s="39"/>
      <c r="K379" s="40"/>
      <c r="L379" s="40"/>
      <c r="M379" s="23"/>
      <c r="N379" s="23"/>
      <c r="O379" s="41"/>
      <c r="P379" s="23"/>
      <c r="Q379" s="23"/>
      <c r="R379" s="25"/>
      <c r="S379" s="23"/>
      <c r="T379" s="23"/>
      <c r="U379" s="23"/>
      <c r="V379" s="23"/>
      <c r="W379" s="41"/>
      <c r="X379" s="24"/>
      <c r="Y379" s="24"/>
      <c r="Z379" s="24"/>
      <c r="AA379" s="24"/>
    </row>
    <row r="380" spans="1:27" x14ac:dyDescent="0.3">
      <c r="C380" s="51"/>
      <c r="D380" s="31"/>
      <c r="J380" s="39"/>
      <c r="K380" s="40"/>
      <c r="L380" s="40"/>
      <c r="M380" s="23"/>
      <c r="N380" s="23"/>
      <c r="P380" s="23"/>
      <c r="Q380" s="23"/>
      <c r="R380" s="25"/>
      <c r="S380" s="23"/>
      <c r="T380" s="23"/>
      <c r="U380" s="23"/>
      <c r="V380" s="23"/>
    </row>
    <row r="381" spans="1:27" s="44" customFormat="1" x14ac:dyDescent="0.3">
      <c r="A381" s="38"/>
      <c r="B381" s="50"/>
      <c r="C381" s="51"/>
      <c r="D381" s="31"/>
      <c r="E381" s="38"/>
      <c r="F381" s="38"/>
      <c r="G381" s="38"/>
      <c r="H381" s="38"/>
      <c r="I381" s="38"/>
      <c r="J381" s="39"/>
      <c r="K381" s="40"/>
      <c r="L381" s="40"/>
      <c r="M381" s="23"/>
      <c r="N381" s="23"/>
      <c r="O381" s="41"/>
      <c r="P381" s="23"/>
      <c r="Q381" s="23"/>
      <c r="R381" s="25"/>
      <c r="S381" s="23"/>
      <c r="T381" s="23"/>
      <c r="U381" s="23"/>
      <c r="V381" s="23"/>
      <c r="W381" s="41"/>
      <c r="X381" s="24"/>
      <c r="Y381" s="24"/>
      <c r="Z381" s="24"/>
      <c r="AA381" s="24"/>
    </row>
    <row r="382" spans="1:27" s="44" customFormat="1" x14ac:dyDescent="0.3">
      <c r="A382" s="38"/>
      <c r="B382" s="50"/>
      <c r="C382" s="51"/>
      <c r="D382" s="31"/>
      <c r="E382" s="38"/>
      <c r="F382" s="38"/>
      <c r="G382" s="38"/>
      <c r="H382" s="38"/>
      <c r="I382" s="38"/>
      <c r="J382" s="39"/>
      <c r="K382" s="40"/>
      <c r="L382" s="40"/>
      <c r="M382" s="23"/>
      <c r="N382" s="23"/>
      <c r="O382" s="41"/>
      <c r="P382" s="23"/>
      <c r="Q382" s="23"/>
      <c r="R382" s="25"/>
      <c r="S382" s="23"/>
      <c r="T382" s="23"/>
      <c r="U382" s="23"/>
      <c r="V382" s="23"/>
      <c r="W382" s="41"/>
      <c r="X382" s="24"/>
      <c r="Y382" s="24"/>
      <c r="Z382" s="24"/>
      <c r="AA382" s="24"/>
    </row>
    <row r="383" spans="1:27" s="44" customFormat="1" x14ac:dyDescent="0.3">
      <c r="A383" s="38"/>
      <c r="B383" s="50"/>
      <c r="C383" s="51"/>
      <c r="D383" s="31"/>
      <c r="E383" s="38"/>
      <c r="F383" s="38"/>
      <c r="G383" s="38"/>
      <c r="H383" s="38"/>
      <c r="I383" s="38"/>
      <c r="J383" s="39"/>
      <c r="K383" s="40"/>
      <c r="L383" s="40"/>
      <c r="M383" s="23"/>
      <c r="N383" s="23"/>
      <c r="O383" s="41"/>
      <c r="P383" s="23"/>
      <c r="Q383" s="23"/>
      <c r="R383" s="25"/>
      <c r="S383" s="23"/>
      <c r="T383" s="23"/>
      <c r="U383" s="23"/>
      <c r="V383" s="23"/>
      <c r="W383" s="41"/>
      <c r="X383" s="24"/>
      <c r="Y383" s="24"/>
      <c r="Z383" s="24"/>
      <c r="AA383" s="24"/>
    </row>
    <row r="384" spans="1:27" x14ac:dyDescent="0.3">
      <c r="C384" s="51"/>
      <c r="D384" s="31"/>
      <c r="J384" s="39"/>
      <c r="K384" s="40"/>
      <c r="L384" s="40"/>
      <c r="M384" s="23"/>
      <c r="N384" s="23"/>
      <c r="P384" s="23"/>
      <c r="Q384" s="23"/>
      <c r="R384" s="25"/>
      <c r="S384" s="23"/>
      <c r="T384" s="23"/>
      <c r="U384" s="23"/>
      <c r="V384" s="23"/>
    </row>
    <row r="385" spans="1:27" x14ac:dyDescent="0.3">
      <c r="C385" s="51"/>
      <c r="D385" s="31"/>
      <c r="J385" s="39"/>
      <c r="K385" s="40"/>
      <c r="L385" s="40"/>
      <c r="M385" s="23"/>
      <c r="N385" s="23"/>
      <c r="P385" s="23"/>
      <c r="Q385" s="23"/>
      <c r="R385" s="25"/>
      <c r="S385" s="23"/>
      <c r="T385" s="23"/>
      <c r="U385" s="23"/>
      <c r="V385" s="23"/>
    </row>
    <row r="386" spans="1:27" x14ac:dyDescent="0.3">
      <c r="C386" s="51"/>
      <c r="D386" s="31"/>
      <c r="J386" s="39"/>
      <c r="K386" s="40"/>
      <c r="L386" s="40"/>
      <c r="M386" s="23"/>
      <c r="N386" s="23"/>
      <c r="P386" s="23"/>
      <c r="Q386" s="23"/>
      <c r="R386" s="25"/>
      <c r="S386" s="23"/>
      <c r="T386" s="23"/>
      <c r="U386" s="23"/>
      <c r="V386" s="23"/>
    </row>
    <row r="387" spans="1:27" s="44" customFormat="1" x14ac:dyDescent="0.3">
      <c r="A387" s="38"/>
      <c r="B387" s="50"/>
      <c r="C387" s="51"/>
      <c r="D387" s="31"/>
      <c r="E387" s="38"/>
      <c r="F387" s="38"/>
      <c r="G387" s="38"/>
      <c r="H387" s="38"/>
      <c r="I387" s="38"/>
      <c r="J387" s="39"/>
      <c r="K387" s="40"/>
      <c r="L387" s="40"/>
      <c r="M387" s="23"/>
      <c r="N387" s="23"/>
      <c r="O387" s="41"/>
      <c r="P387" s="23"/>
      <c r="Q387" s="23"/>
      <c r="R387" s="25"/>
      <c r="S387" s="23"/>
      <c r="T387" s="23"/>
      <c r="U387" s="23"/>
      <c r="V387" s="23"/>
      <c r="W387" s="41"/>
      <c r="X387" s="24"/>
      <c r="Y387" s="24"/>
      <c r="Z387" s="24"/>
      <c r="AA387" s="24"/>
    </row>
    <row r="388" spans="1:27" x14ac:dyDescent="0.3">
      <c r="C388" s="51"/>
      <c r="D388" s="31"/>
      <c r="J388" s="39"/>
      <c r="K388" s="40"/>
      <c r="L388" s="40"/>
      <c r="M388" s="23"/>
      <c r="N388" s="23"/>
      <c r="P388" s="23"/>
      <c r="Q388" s="23"/>
      <c r="R388" s="25"/>
      <c r="S388" s="23"/>
      <c r="T388" s="23"/>
      <c r="U388" s="23"/>
      <c r="V388" s="23"/>
    </row>
    <row r="389" spans="1:27" x14ac:dyDescent="0.3">
      <c r="C389" s="51"/>
      <c r="D389" s="31"/>
      <c r="J389" s="39"/>
      <c r="K389" s="40"/>
      <c r="L389" s="40"/>
      <c r="M389" s="23"/>
      <c r="N389" s="23"/>
      <c r="P389" s="23"/>
      <c r="Q389" s="23"/>
      <c r="R389" s="25"/>
      <c r="S389" s="23"/>
      <c r="T389" s="23"/>
      <c r="U389" s="23"/>
      <c r="V389" s="23"/>
    </row>
    <row r="390" spans="1:27" s="44" customFormat="1" x14ac:dyDescent="0.3">
      <c r="A390" s="38"/>
      <c r="B390" s="50"/>
      <c r="C390" s="51"/>
      <c r="D390" s="31"/>
      <c r="E390" s="38"/>
      <c r="F390" s="38"/>
      <c r="G390" s="38"/>
      <c r="H390" s="38"/>
      <c r="I390" s="38"/>
      <c r="J390" s="39"/>
      <c r="K390" s="40"/>
      <c r="L390" s="40"/>
      <c r="M390" s="23"/>
      <c r="N390" s="23"/>
      <c r="O390" s="41"/>
      <c r="P390" s="41"/>
      <c r="Q390" s="41"/>
      <c r="R390" s="25"/>
      <c r="S390" s="23"/>
      <c r="T390" s="23"/>
      <c r="U390" s="23"/>
      <c r="V390" s="23"/>
      <c r="W390" s="41"/>
      <c r="X390" s="24"/>
      <c r="Y390" s="24"/>
      <c r="Z390" s="24"/>
      <c r="AA390" s="24"/>
    </row>
    <row r="391" spans="1:27" x14ac:dyDescent="0.3">
      <c r="C391" s="51"/>
      <c r="D391" s="31"/>
      <c r="J391" s="39"/>
      <c r="K391" s="40"/>
      <c r="L391" s="40"/>
      <c r="M391" s="23"/>
      <c r="N391" s="23"/>
      <c r="Q391" s="41"/>
      <c r="R391" s="25"/>
      <c r="S391" s="23"/>
      <c r="T391" s="23"/>
      <c r="U391" s="23"/>
      <c r="V391" s="23"/>
    </row>
    <row r="392" spans="1:27" s="44" customFormat="1" x14ac:dyDescent="0.3">
      <c r="A392" s="38"/>
      <c r="B392" s="50"/>
      <c r="C392" s="51"/>
      <c r="D392" s="31"/>
      <c r="E392" s="38"/>
      <c r="F392" s="38"/>
      <c r="G392" s="38"/>
      <c r="H392" s="38"/>
      <c r="I392" s="38"/>
      <c r="J392" s="39"/>
      <c r="K392" s="40"/>
      <c r="L392" s="40"/>
      <c r="M392" s="23"/>
      <c r="N392" s="23"/>
      <c r="O392" s="41"/>
      <c r="P392" s="41"/>
      <c r="Q392" s="41"/>
      <c r="R392" s="25"/>
      <c r="S392" s="23"/>
      <c r="T392" s="23"/>
      <c r="U392" s="23"/>
      <c r="V392" s="23"/>
      <c r="W392" s="41"/>
      <c r="X392" s="24"/>
      <c r="Y392" s="24"/>
      <c r="Z392" s="24"/>
      <c r="AA392" s="24"/>
    </row>
    <row r="393" spans="1:27" x14ac:dyDescent="0.3">
      <c r="C393" s="51"/>
      <c r="D393" s="31"/>
      <c r="J393" s="39"/>
      <c r="K393" s="40"/>
      <c r="L393" s="40"/>
      <c r="M393" s="23"/>
      <c r="N393" s="23"/>
      <c r="Q393" s="41"/>
      <c r="R393" s="25"/>
      <c r="S393" s="23"/>
      <c r="T393" s="23"/>
      <c r="U393" s="23"/>
      <c r="V393" s="23"/>
    </row>
    <row r="394" spans="1:27" x14ac:dyDescent="0.3">
      <c r="C394" s="51"/>
      <c r="D394" s="31"/>
      <c r="J394" s="39"/>
      <c r="K394" s="40"/>
      <c r="L394" s="40"/>
      <c r="M394" s="23"/>
      <c r="N394" s="23"/>
      <c r="Q394" s="41"/>
      <c r="R394" s="25"/>
      <c r="S394" s="23"/>
      <c r="T394" s="23"/>
      <c r="U394" s="23"/>
      <c r="V394" s="23"/>
    </row>
    <row r="395" spans="1:27" x14ac:dyDescent="0.3">
      <c r="C395" s="51"/>
      <c r="D395" s="31"/>
      <c r="J395" s="39"/>
      <c r="K395" s="40"/>
      <c r="L395" s="40"/>
      <c r="M395" s="23"/>
      <c r="N395" s="23"/>
      <c r="Q395" s="41"/>
      <c r="R395" s="25"/>
      <c r="S395" s="23"/>
      <c r="T395" s="23"/>
      <c r="U395" s="23"/>
      <c r="V395" s="23"/>
    </row>
    <row r="396" spans="1:27" s="44" customFormat="1" x14ac:dyDescent="0.3">
      <c r="A396" s="38"/>
      <c r="B396" s="50"/>
      <c r="C396" s="51"/>
      <c r="D396" s="31"/>
      <c r="E396" s="38"/>
      <c r="F396" s="38"/>
      <c r="G396" s="38"/>
      <c r="H396" s="38"/>
      <c r="I396" s="38"/>
      <c r="J396" s="39"/>
      <c r="K396" s="40"/>
      <c r="L396" s="40"/>
      <c r="M396" s="23"/>
      <c r="N396" s="23"/>
      <c r="O396" s="41"/>
      <c r="P396" s="41"/>
      <c r="Q396" s="41"/>
      <c r="R396" s="25"/>
      <c r="S396" s="23"/>
      <c r="T396" s="23"/>
      <c r="U396" s="23"/>
      <c r="V396" s="23"/>
      <c r="W396" s="41"/>
      <c r="X396" s="24"/>
      <c r="Y396" s="24"/>
      <c r="Z396" s="24"/>
      <c r="AA396" s="24"/>
    </row>
    <row r="397" spans="1:27" s="44" customFormat="1" x14ac:dyDescent="0.3">
      <c r="A397" s="38"/>
      <c r="B397" s="50"/>
      <c r="C397" s="51"/>
      <c r="D397" s="31"/>
      <c r="E397" s="38"/>
      <c r="F397" s="38"/>
      <c r="G397" s="38"/>
      <c r="H397" s="38"/>
      <c r="I397" s="38"/>
      <c r="J397" s="39"/>
      <c r="K397" s="40"/>
      <c r="L397" s="40"/>
      <c r="M397" s="23"/>
      <c r="N397" s="23"/>
      <c r="O397" s="41"/>
      <c r="P397" s="41"/>
      <c r="Q397" s="41"/>
      <c r="R397" s="25"/>
      <c r="S397" s="23"/>
      <c r="T397" s="23"/>
      <c r="U397" s="23"/>
      <c r="V397" s="23"/>
      <c r="W397" s="41"/>
      <c r="X397" s="24"/>
      <c r="Y397" s="24"/>
      <c r="Z397" s="24"/>
      <c r="AA397" s="24"/>
    </row>
    <row r="398" spans="1:27" s="44" customFormat="1" x14ac:dyDescent="0.3">
      <c r="A398" s="38"/>
      <c r="B398" s="50"/>
      <c r="C398" s="51"/>
      <c r="D398" s="31"/>
      <c r="E398" s="38"/>
      <c r="F398" s="38"/>
      <c r="G398" s="38"/>
      <c r="H398" s="38"/>
      <c r="I398" s="38"/>
      <c r="J398" s="39"/>
      <c r="K398" s="40"/>
      <c r="L398" s="40"/>
      <c r="M398" s="23"/>
      <c r="N398" s="23"/>
      <c r="O398" s="41"/>
      <c r="P398" s="41"/>
      <c r="Q398" s="41"/>
      <c r="R398" s="25"/>
      <c r="S398" s="23"/>
      <c r="T398" s="23"/>
      <c r="U398" s="23"/>
      <c r="V398" s="23"/>
      <c r="W398" s="41"/>
      <c r="X398" s="24"/>
      <c r="Y398" s="24"/>
      <c r="Z398" s="24"/>
      <c r="AA398" s="24"/>
    </row>
    <row r="399" spans="1:27" x14ac:dyDescent="0.3">
      <c r="C399" s="51"/>
      <c r="M399" s="23"/>
      <c r="N399" s="23"/>
      <c r="Q399" s="41"/>
      <c r="R399" s="25"/>
      <c r="S399" s="23"/>
      <c r="T399" s="23"/>
      <c r="U399" s="23"/>
      <c r="V399" s="23"/>
    </row>
    <row r="400" spans="1:27" x14ac:dyDescent="0.3">
      <c r="C400" s="51"/>
      <c r="D400" s="31"/>
      <c r="J400" s="39"/>
      <c r="K400" s="40"/>
      <c r="L400" s="40"/>
      <c r="M400" s="23"/>
      <c r="N400" s="23"/>
      <c r="O400" s="23"/>
      <c r="P400" s="23"/>
      <c r="Q400" s="23"/>
      <c r="R400" s="25"/>
      <c r="S400" s="23"/>
      <c r="T400" s="23"/>
      <c r="U400" s="23"/>
      <c r="V400" s="23"/>
    </row>
    <row r="401" spans="1:27" s="44" customFormat="1" x14ac:dyDescent="0.3">
      <c r="A401" s="38"/>
      <c r="B401" s="50"/>
      <c r="C401" s="51"/>
      <c r="D401" s="38"/>
      <c r="E401" s="38"/>
      <c r="F401" s="38"/>
      <c r="G401" s="38"/>
      <c r="H401" s="38"/>
      <c r="I401" s="38"/>
      <c r="J401" s="56"/>
      <c r="K401" s="57"/>
      <c r="L401" s="57"/>
      <c r="M401" s="23"/>
      <c r="N401" s="23"/>
      <c r="O401" s="41"/>
      <c r="P401" s="41"/>
      <c r="Q401" s="41"/>
      <c r="R401" s="25"/>
      <c r="S401" s="23"/>
      <c r="T401" s="23"/>
      <c r="U401" s="23"/>
      <c r="V401" s="23"/>
      <c r="W401" s="41"/>
      <c r="X401" s="24"/>
      <c r="Y401" s="24"/>
      <c r="Z401" s="24"/>
      <c r="AA401" s="24"/>
    </row>
    <row r="402" spans="1:27" s="44" customFormat="1" x14ac:dyDescent="0.3">
      <c r="A402" s="38"/>
      <c r="B402" s="50"/>
      <c r="C402" s="51"/>
      <c r="D402" s="31"/>
      <c r="E402" s="38"/>
      <c r="F402" s="38"/>
      <c r="G402" s="38"/>
      <c r="H402" s="38"/>
      <c r="I402" s="38"/>
      <c r="J402" s="39"/>
      <c r="K402" s="40"/>
      <c r="L402" s="40"/>
      <c r="M402" s="23"/>
      <c r="N402" s="23"/>
      <c r="O402" s="41"/>
      <c r="P402" s="41"/>
      <c r="Q402" s="41"/>
      <c r="R402" s="25"/>
      <c r="S402" s="23"/>
      <c r="T402" s="23"/>
      <c r="U402" s="23"/>
      <c r="V402" s="23"/>
      <c r="W402" s="41"/>
      <c r="X402" s="24"/>
      <c r="Y402" s="24"/>
      <c r="Z402" s="24"/>
      <c r="AA402" s="24"/>
    </row>
    <row r="403" spans="1:27" s="55" customFormat="1" x14ac:dyDescent="0.3">
      <c r="A403" s="38"/>
      <c r="B403" s="50"/>
      <c r="C403" s="51"/>
      <c r="D403" s="31"/>
      <c r="E403" s="38"/>
      <c r="F403" s="38"/>
      <c r="G403" s="38"/>
      <c r="H403" s="38"/>
      <c r="I403" s="38"/>
      <c r="J403" s="39"/>
      <c r="K403" s="40"/>
      <c r="L403" s="40"/>
      <c r="M403" s="23"/>
      <c r="N403" s="23"/>
      <c r="O403" s="41"/>
      <c r="P403" s="41"/>
      <c r="Q403" s="41"/>
      <c r="R403" s="25"/>
      <c r="S403" s="23"/>
      <c r="T403" s="23"/>
      <c r="U403" s="23"/>
      <c r="V403" s="23"/>
      <c r="W403" s="41"/>
      <c r="X403" s="24"/>
      <c r="Y403" s="24"/>
      <c r="Z403" s="24"/>
      <c r="AA403" s="24"/>
    </row>
    <row r="404" spans="1:27" x14ac:dyDescent="0.3">
      <c r="C404" s="51"/>
      <c r="D404" s="31"/>
      <c r="J404" s="39"/>
      <c r="K404" s="40"/>
      <c r="L404" s="40"/>
      <c r="M404" s="23"/>
      <c r="N404" s="23"/>
      <c r="Q404" s="41"/>
      <c r="R404" s="25"/>
      <c r="S404" s="23"/>
      <c r="T404" s="23"/>
      <c r="U404" s="23"/>
      <c r="V404" s="23"/>
    </row>
    <row r="405" spans="1:27" x14ac:dyDescent="0.3">
      <c r="C405" s="51"/>
      <c r="D405" s="31"/>
      <c r="J405" s="39"/>
      <c r="K405" s="40"/>
      <c r="L405" s="40"/>
      <c r="M405" s="23"/>
      <c r="N405" s="23"/>
      <c r="Q405" s="41"/>
      <c r="R405" s="25"/>
      <c r="S405" s="23"/>
      <c r="T405" s="23"/>
      <c r="U405" s="23"/>
      <c r="V405" s="23"/>
    </row>
    <row r="406" spans="1:27" x14ac:dyDescent="0.3">
      <c r="C406" s="51"/>
      <c r="D406" s="31"/>
      <c r="J406" s="39"/>
      <c r="K406" s="40"/>
      <c r="L406" s="40"/>
      <c r="M406" s="23"/>
      <c r="N406" s="23"/>
      <c r="Q406" s="41"/>
      <c r="R406" s="25"/>
      <c r="S406" s="23"/>
      <c r="T406" s="23"/>
      <c r="U406" s="23"/>
      <c r="V406" s="23"/>
    </row>
    <row r="407" spans="1:27" x14ac:dyDescent="0.3">
      <c r="C407" s="51"/>
      <c r="D407" s="31"/>
      <c r="J407" s="39"/>
      <c r="K407" s="40"/>
      <c r="L407" s="40"/>
      <c r="M407" s="23"/>
      <c r="N407" s="23"/>
      <c r="Q407" s="41"/>
      <c r="R407" s="25"/>
      <c r="S407" s="23"/>
      <c r="T407" s="23"/>
      <c r="U407" s="23"/>
      <c r="V407" s="23"/>
    </row>
    <row r="408" spans="1:27" s="44" customFormat="1" x14ac:dyDescent="0.3">
      <c r="A408" s="38"/>
      <c r="B408" s="50"/>
      <c r="C408" s="51"/>
      <c r="D408" s="31"/>
      <c r="E408" s="38"/>
      <c r="F408" s="38"/>
      <c r="G408" s="38"/>
      <c r="H408" s="38"/>
      <c r="I408" s="38"/>
      <c r="J408" s="39"/>
      <c r="K408" s="40"/>
      <c r="L408" s="40"/>
      <c r="M408" s="23"/>
      <c r="N408" s="23"/>
      <c r="O408" s="41"/>
      <c r="P408" s="41"/>
      <c r="Q408" s="41"/>
      <c r="R408" s="25"/>
      <c r="S408" s="23"/>
      <c r="T408" s="23"/>
      <c r="U408" s="23"/>
      <c r="V408" s="23"/>
      <c r="W408" s="41"/>
      <c r="X408" s="24"/>
      <c r="Y408" s="24"/>
      <c r="Z408" s="24"/>
      <c r="AA408" s="24"/>
    </row>
    <row r="409" spans="1:27" s="44" customFormat="1" x14ac:dyDescent="0.3">
      <c r="A409" s="38"/>
      <c r="B409" s="50"/>
      <c r="C409" s="51"/>
      <c r="D409" s="31"/>
      <c r="E409" s="38"/>
      <c r="F409" s="38"/>
      <c r="G409" s="38"/>
      <c r="H409" s="38"/>
      <c r="I409" s="38"/>
      <c r="J409" s="39"/>
      <c r="K409" s="40"/>
      <c r="L409" s="40"/>
      <c r="M409" s="23"/>
      <c r="N409" s="23"/>
      <c r="O409" s="41"/>
      <c r="P409" s="41"/>
      <c r="Q409" s="41"/>
      <c r="R409" s="25"/>
      <c r="S409" s="23"/>
      <c r="T409" s="23"/>
      <c r="U409" s="23"/>
      <c r="V409" s="23"/>
      <c r="W409" s="41"/>
      <c r="X409" s="24"/>
      <c r="Y409" s="24"/>
      <c r="Z409" s="24"/>
      <c r="AA409" s="24"/>
    </row>
    <row r="410" spans="1:27" s="44" customFormat="1" x14ac:dyDescent="0.3">
      <c r="A410" s="38"/>
      <c r="B410" s="50"/>
      <c r="C410" s="51"/>
      <c r="D410" s="31"/>
      <c r="E410" s="38"/>
      <c r="F410" s="38"/>
      <c r="G410" s="38"/>
      <c r="H410" s="38"/>
      <c r="I410" s="38"/>
      <c r="J410" s="39"/>
      <c r="K410" s="40"/>
      <c r="L410" s="40"/>
      <c r="M410" s="23"/>
      <c r="N410" s="23"/>
      <c r="O410" s="41"/>
      <c r="P410" s="41"/>
      <c r="Q410" s="41"/>
      <c r="R410" s="25"/>
      <c r="S410" s="23"/>
      <c r="T410" s="23"/>
      <c r="U410" s="23"/>
      <c r="V410" s="23"/>
      <c r="W410" s="41"/>
      <c r="X410" s="24"/>
      <c r="Y410" s="24"/>
      <c r="Z410" s="24"/>
      <c r="AA410" s="24"/>
    </row>
    <row r="411" spans="1:27" s="44" customFormat="1" x14ac:dyDescent="0.3">
      <c r="A411" s="38"/>
      <c r="B411" s="50"/>
      <c r="C411" s="51"/>
      <c r="D411" s="31"/>
      <c r="E411" s="38"/>
      <c r="F411" s="38"/>
      <c r="G411" s="38"/>
      <c r="H411" s="38"/>
      <c r="I411" s="38"/>
      <c r="J411" s="39"/>
      <c r="K411" s="40"/>
      <c r="L411" s="40"/>
      <c r="M411" s="23"/>
      <c r="N411" s="23"/>
      <c r="O411" s="41"/>
      <c r="P411" s="23"/>
      <c r="Q411" s="23"/>
      <c r="R411" s="25"/>
      <c r="S411" s="23"/>
      <c r="T411" s="23"/>
      <c r="U411" s="23"/>
      <c r="V411" s="23"/>
      <c r="W411" s="41"/>
      <c r="X411" s="24"/>
      <c r="Y411" s="24"/>
      <c r="Z411" s="24"/>
      <c r="AA411" s="24"/>
    </row>
    <row r="412" spans="1:27" s="44" customFormat="1" x14ac:dyDescent="0.3">
      <c r="A412" s="38"/>
      <c r="B412" s="50"/>
      <c r="C412" s="51"/>
      <c r="D412" s="31"/>
      <c r="E412" s="38"/>
      <c r="F412" s="38"/>
      <c r="G412" s="38"/>
      <c r="H412" s="38"/>
      <c r="I412" s="38"/>
      <c r="J412" s="39"/>
      <c r="K412" s="40"/>
      <c r="L412" s="40"/>
      <c r="M412" s="23"/>
      <c r="N412" s="23"/>
      <c r="O412" s="41"/>
      <c r="P412" s="23"/>
      <c r="Q412" s="23"/>
      <c r="R412" s="25"/>
      <c r="S412" s="23"/>
      <c r="T412" s="23"/>
      <c r="U412" s="23"/>
      <c r="V412" s="23"/>
      <c r="W412" s="41"/>
      <c r="X412" s="24"/>
      <c r="Y412" s="24"/>
      <c r="Z412" s="24"/>
      <c r="AA412" s="24"/>
    </row>
    <row r="413" spans="1:27" x14ac:dyDescent="0.3">
      <c r="C413" s="51"/>
      <c r="D413" s="31"/>
      <c r="J413" s="39"/>
      <c r="K413" s="40"/>
      <c r="L413" s="40"/>
      <c r="M413" s="23"/>
      <c r="N413" s="23"/>
      <c r="P413" s="23"/>
      <c r="Q413" s="23"/>
      <c r="R413" s="25"/>
      <c r="S413" s="23"/>
      <c r="T413" s="23"/>
      <c r="U413" s="23"/>
      <c r="V413" s="23"/>
    </row>
    <row r="414" spans="1:27" x14ac:dyDescent="0.3">
      <c r="C414" s="51"/>
      <c r="D414" s="31"/>
      <c r="J414" s="39"/>
      <c r="K414" s="40"/>
      <c r="L414" s="40"/>
      <c r="M414" s="23"/>
      <c r="N414" s="23"/>
      <c r="P414" s="23"/>
      <c r="Q414" s="23"/>
      <c r="R414" s="25"/>
      <c r="S414" s="23"/>
      <c r="T414" s="23"/>
      <c r="U414" s="23"/>
      <c r="V414" s="23"/>
    </row>
    <row r="415" spans="1:27" s="44" customFormat="1" x14ac:dyDescent="0.3">
      <c r="A415" s="38"/>
      <c r="B415" s="50"/>
      <c r="C415" s="51"/>
      <c r="D415" s="31"/>
      <c r="E415" s="38"/>
      <c r="F415" s="38"/>
      <c r="G415" s="38"/>
      <c r="H415" s="38"/>
      <c r="I415" s="38"/>
      <c r="J415" s="39"/>
      <c r="K415" s="40"/>
      <c r="L415" s="40"/>
      <c r="M415" s="23"/>
      <c r="N415" s="23"/>
      <c r="O415" s="41"/>
      <c r="P415" s="23"/>
      <c r="Q415" s="23"/>
      <c r="R415" s="25"/>
      <c r="S415" s="23"/>
      <c r="T415" s="23"/>
      <c r="U415" s="23"/>
      <c r="V415" s="23"/>
      <c r="W415" s="41"/>
      <c r="X415" s="24"/>
      <c r="Y415" s="24"/>
      <c r="Z415" s="24"/>
      <c r="AA415" s="24"/>
    </row>
    <row r="416" spans="1:27" s="44" customFormat="1" x14ac:dyDescent="0.3">
      <c r="A416" s="38"/>
      <c r="B416" s="50"/>
      <c r="C416" s="51"/>
      <c r="D416" s="31"/>
      <c r="E416" s="38"/>
      <c r="F416" s="38"/>
      <c r="G416" s="38"/>
      <c r="H416" s="38"/>
      <c r="I416" s="38"/>
      <c r="J416" s="39"/>
      <c r="K416" s="40"/>
      <c r="L416" s="40"/>
      <c r="M416" s="23"/>
      <c r="N416" s="23"/>
      <c r="O416" s="41"/>
      <c r="P416" s="23"/>
      <c r="Q416" s="23"/>
      <c r="R416" s="25"/>
      <c r="S416" s="23"/>
      <c r="T416" s="23"/>
      <c r="U416" s="23"/>
      <c r="V416" s="23"/>
      <c r="W416" s="41"/>
      <c r="X416" s="24"/>
      <c r="Y416" s="24"/>
      <c r="Z416" s="24"/>
      <c r="AA416" s="24"/>
    </row>
    <row r="417" spans="1:27" x14ac:dyDescent="0.3">
      <c r="C417" s="51"/>
      <c r="D417" s="31"/>
      <c r="J417" s="39"/>
      <c r="K417" s="40"/>
      <c r="L417" s="40"/>
      <c r="M417" s="23"/>
      <c r="N417" s="23"/>
      <c r="P417" s="23"/>
      <c r="Q417" s="23"/>
      <c r="R417" s="25"/>
      <c r="S417" s="23"/>
      <c r="T417" s="23"/>
      <c r="U417" s="23"/>
      <c r="V417" s="23"/>
    </row>
    <row r="418" spans="1:27" x14ac:dyDescent="0.3">
      <c r="C418" s="51"/>
      <c r="D418" s="31"/>
      <c r="J418" s="39"/>
      <c r="K418" s="40"/>
      <c r="L418" s="40"/>
      <c r="M418" s="23"/>
      <c r="N418" s="23"/>
      <c r="P418" s="23"/>
      <c r="Q418" s="23"/>
      <c r="R418" s="25"/>
      <c r="S418" s="23"/>
      <c r="T418" s="23"/>
      <c r="U418" s="23"/>
      <c r="V418" s="23"/>
    </row>
    <row r="419" spans="1:27" s="44" customFormat="1" x14ac:dyDescent="0.3">
      <c r="A419" s="38"/>
      <c r="B419" s="50"/>
      <c r="C419" s="51"/>
      <c r="D419" s="31"/>
      <c r="E419" s="38"/>
      <c r="F419" s="38"/>
      <c r="G419" s="38"/>
      <c r="H419" s="38"/>
      <c r="I419" s="38"/>
      <c r="J419" s="39"/>
      <c r="K419" s="40"/>
      <c r="L419" s="40"/>
      <c r="M419" s="23"/>
      <c r="N419" s="23"/>
      <c r="O419" s="41"/>
      <c r="P419" s="41"/>
      <c r="Q419" s="41"/>
      <c r="R419" s="25"/>
      <c r="S419" s="23"/>
      <c r="T419" s="23"/>
      <c r="U419" s="23"/>
      <c r="V419" s="23"/>
      <c r="W419" s="41"/>
      <c r="X419" s="24"/>
      <c r="Y419" s="24"/>
      <c r="Z419" s="24"/>
      <c r="AA419" s="24"/>
    </row>
    <row r="420" spans="1:27" x14ac:dyDescent="0.3">
      <c r="C420" s="51"/>
      <c r="D420" s="31"/>
      <c r="J420" s="39"/>
      <c r="K420" s="40"/>
      <c r="L420" s="40"/>
      <c r="M420" s="23"/>
      <c r="N420" s="23"/>
      <c r="Q420" s="41"/>
      <c r="R420" s="25"/>
      <c r="S420" s="23"/>
      <c r="T420" s="23"/>
      <c r="U420" s="23"/>
      <c r="V420" s="23"/>
    </row>
    <row r="421" spans="1:27" x14ac:dyDescent="0.3">
      <c r="C421" s="51"/>
      <c r="D421" s="31"/>
      <c r="J421" s="39"/>
      <c r="K421" s="40"/>
      <c r="L421" s="40"/>
      <c r="M421" s="23"/>
      <c r="N421" s="23"/>
      <c r="Q421" s="41"/>
      <c r="R421" s="25"/>
      <c r="S421" s="23"/>
      <c r="T421" s="23"/>
      <c r="U421" s="23"/>
      <c r="V421" s="23"/>
    </row>
    <row r="422" spans="1:27" x14ac:dyDescent="0.3">
      <c r="C422" s="51"/>
      <c r="D422" s="31"/>
      <c r="J422" s="39"/>
      <c r="K422" s="40"/>
      <c r="L422" s="40"/>
      <c r="M422" s="23"/>
      <c r="N422" s="23"/>
      <c r="Q422" s="41"/>
      <c r="R422" s="25"/>
      <c r="S422" s="23"/>
      <c r="T422" s="23"/>
      <c r="U422" s="23"/>
      <c r="V422" s="23"/>
    </row>
    <row r="423" spans="1:27" x14ac:dyDescent="0.3">
      <c r="C423" s="51"/>
      <c r="D423" s="31"/>
      <c r="J423" s="39"/>
      <c r="K423" s="40"/>
      <c r="L423" s="40"/>
      <c r="M423" s="23"/>
      <c r="N423" s="23"/>
      <c r="Q423" s="41"/>
      <c r="R423" s="25"/>
      <c r="S423" s="23"/>
      <c r="T423" s="23"/>
      <c r="U423" s="23"/>
      <c r="V423" s="23"/>
    </row>
    <row r="424" spans="1:27" x14ac:dyDescent="0.3">
      <c r="C424" s="51"/>
      <c r="D424" s="31"/>
      <c r="J424" s="39"/>
      <c r="K424" s="40"/>
      <c r="L424" s="40"/>
      <c r="M424" s="23"/>
      <c r="N424" s="23"/>
      <c r="Q424" s="41"/>
      <c r="R424" s="25"/>
      <c r="S424" s="23"/>
      <c r="T424" s="23"/>
      <c r="U424" s="23"/>
      <c r="V424" s="23"/>
    </row>
    <row r="425" spans="1:27" s="44" customFormat="1" x14ac:dyDescent="0.3">
      <c r="A425" s="38"/>
      <c r="B425" s="50"/>
      <c r="C425" s="51"/>
      <c r="D425" s="31"/>
      <c r="E425" s="38"/>
      <c r="F425" s="38"/>
      <c r="G425" s="38"/>
      <c r="H425" s="38"/>
      <c r="I425" s="38"/>
      <c r="J425" s="39"/>
      <c r="K425" s="40"/>
      <c r="L425" s="40"/>
      <c r="M425" s="23"/>
      <c r="N425" s="23"/>
      <c r="O425" s="41"/>
      <c r="P425" s="41"/>
      <c r="Q425" s="41"/>
      <c r="R425" s="25"/>
      <c r="S425" s="23"/>
      <c r="T425" s="23"/>
      <c r="U425" s="23"/>
      <c r="V425" s="23"/>
      <c r="W425" s="41"/>
      <c r="X425" s="24"/>
      <c r="Y425" s="24"/>
      <c r="Z425" s="24"/>
      <c r="AA425" s="24"/>
    </row>
    <row r="426" spans="1:27" s="44" customFormat="1" x14ac:dyDescent="0.3">
      <c r="A426" s="38"/>
      <c r="B426" s="50"/>
      <c r="C426" s="51"/>
      <c r="D426" s="31"/>
      <c r="E426" s="38"/>
      <c r="F426" s="38"/>
      <c r="G426" s="38"/>
      <c r="H426" s="38"/>
      <c r="I426" s="38"/>
      <c r="J426" s="39"/>
      <c r="K426" s="40"/>
      <c r="L426" s="40"/>
      <c r="M426" s="23"/>
      <c r="N426" s="23"/>
      <c r="O426" s="41"/>
      <c r="P426" s="41"/>
      <c r="Q426" s="41"/>
      <c r="R426" s="25"/>
      <c r="S426" s="23"/>
      <c r="T426" s="23"/>
      <c r="U426" s="23"/>
      <c r="V426" s="23"/>
      <c r="W426" s="41"/>
      <c r="X426" s="24"/>
      <c r="Y426" s="24"/>
      <c r="Z426" s="24"/>
      <c r="AA426" s="24"/>
    </row>
    <row r="427" spans="1:27" s="44" customFormat="1" x14ac:dyDescent="0.3">
      <c r="A427" s="38"/>
      <c r="B427" s="50"/>
      <c r="C427" s="51"/>
      <c r="D427" s="31"/>
      <c r="E427" s="38"/>
      <c r="F427" s="38"/>
      <c r="G427" s="38"/>
      <c r="H427" s="38"/>
      <c r="I427" s="38"/>
      <c r="J427" s="39"/>
      <c r="K427" s="40"/>
      <c r="L427" s="40"/>
      <c r="M427" s="23"/>
      <c r="N427" s="23"/>
      <c r="O427" s="41"/>
      <c r="P427" s="41"/>
      <c r="Q427" s="41"/>
      <c r="R427" s="25"/>
      <c r="S427" s="23"/>
      <c r="T427" s="23"/>
      <c r="U427" s="23"/>
      <c r="V427" s="23"/>
      <c r="W427" s="41"/>
      <c r="X427" s="24"/>
      <c r="Y427" s="24"/>
      <c r="Z427" s="24"/>
      <c r="AA427" s="24"/>
    </row>
    <row r="428" spans="1:27" s="44" customFormat="1" x14ac:dyDescent="0.3">
      <c r="A428" s="38"/>
      <c r="B428" s="50"/>
      <c r="C428" s="51"/>
      <c r="D428" s="31"/>
      <c r="E428" s="38"/>
      <c r="F428" s="38"/>
      <c r="G428" s="38"/>
      <c r="H428" s="38"/>
      <c r="I428" s="38"/>
      <c r="J428" s="56"/>
      <c r="K428" s="40"/>
      <c r="L428" s="40"/>
      <c r="M428" s="23"/>
      <c r="N428" s="23"/>
      <c r="O428" s="41"/>
      <c r="P428" s="41"/>
      <c r="Q428" s="41"/>
      <c r="R428" s="25"/>
      <c r="S428" s="23"/>
      <c r="T428" s="23"/>
      <c r="U428" s="23"/>
      <c r="V428" s="23"/>
      <c r="W428" s="41"/>
      <c r="X428" s="24"/>
      <c r="Y428" s="24"/>
      <c r="Z428" s="24"/>
      <c r="AA428" s="24"/>
    </row>
    <row r="429" spans="1:27" s="44" customFormat="1" x14ac:dyDescent="0.3">
      <c r="A429" s="38"/>
      <c r="B429" s="50"/>
      <c r="C429" s="51"/>
      <c r="D429" s="31"/>
      <c r="E429" s="38"/>
      <c r="F429" s="38"/>
      <c r="G429" s="38"/>
      <c r="H429" s="38"/>
      <c r="I429" s="38"/>
      <c r="J429" s="56"/>
      <c r="K429" s="40"/>
      <c r="L429" s="40"/>
      <c r="M429" s="23"/>
      <c r="N429" s="23"/>
      <c r="O429" s="41"/>
      <c r="P429" s="41"/>
      <c r="Q429" s="41"/>
      <c r="R429" s="25"/>
      <c r="S429" s="23"/>
      <c r="T429" s="23"/>
      <c r="U429" s="23"/>
      <c r="V429" s="23"/>
      <c r="W429" s="41"/>
      <c r="X429" s="24"/>
      <c r="Y429" s="24"/>
      <c r="Z429" s="24"/>
      <c r="AA429" s="24"/>
    </row>
    <row r="430" spans="1:27" s="44" customFormat="1" x14ac:dyDescent="0.3">
      <c r="A430" s="38"/>
      <c r="B430" s="50"/>
      <c r="C430" s="51"/>
      <c r="D430" s="31"/>
      <c r="E430" s="38"/>
      <c r="F430" s="38"/>
      <c r="G430" s="38"/>
      <c r="H430" s="38"/>
      <c r="I430" s="38"/>
      <c r="J430" s="56"/>
      <c r="K430" s="40"/>
      <c r="L430" s="40"/>
      <c r="M430" s="23"/>
      <c r="N430" s="23"/>
      <c r="O430" s="41"/>
      <c r="P430" s="41"/>
      <c r="Q430" s="41"/>
      <c r="R430" s="25"/>
      <c r="S430" s="23"/>
      <c r="T430" s="23"/>
      <c r="U430" s="23"/>
      <c r="V430" s="23"/>
      <c r="W430" s="41"/>
      <c r="X430" s="24"/>
      <c r="Y430" s="24"/>
      <c r="Z430" s="24"/>
      <c r="AA430" s="24"/>
    </row>
    <row r="431" spans="1:27" s="44" customFormat="1" x14ac:dyDescent="0.3">
      <c r="A431" s="38"/>
      <c r="B431" s="50"/>
      <c r="C431" s="51"/>
      <c r="D431" s="31"/>
      <c r="E431" s="38"/>
      <c r="F431" s="38"/>
      <c r="G431" s="38"/>
      <c r="H431" s="38"/>
      <c r="I431" s="38"/>
      <c r="J431" s="56"/>
      <c r="K431" s="40"/>
      <c r="L431" s="40"/>
      <c r="M431" s="23"/>
      <c r="N431" s="23"/>
      <c r="O431" s="41"/>
      <c r="P431" s="41"/>
      <c r="Q431" s="41"/>
      <c r="R431" s="25"/>
      <c r="S431" s="23"/>
      <c r="T431" s="23"/>
      <c r="U431" s="23"/>
      <c r="V431" s="23"/>
      <c r="W431" s="41"/>
      <c r="X431" s="24"/>
      <c r="Y431" s="24"/>
      <c r="Z431" s="24"/>
      <c r="AA431" s="24"/>
    </row>
    <row r="432" spans="1:27" s="44" customFormat="1" x14ac:dyDescent="0.3">
      <c r="A432" s="38"/>
      <c r="B432" s="50"/>
      <c r="C432" s="51"/>
      <c r="D432" s="31"/>
      <c r="E432" s="38"/>
      <c r="F432" s="38"/>
      <c r="G432" s="38"/>
      <c r="H432" s="38"/>
      <c r="I432" s="38"/>
      <c r="J432" s="56"/>
      <c r="K432" s="40"/>
      <c r="L432" s="40"/>
      <c r="M432" s="23"/>
      <c r="N432" s="23"/>
      <c r="O432" s="41"/>
      <c r="P432" s="41"/>
      <c r="Q432" s="41"/>
      <c r="R432" s="25"/>
      <c r="S432" s="23"/>
      <c r="T432" s="23"/>
      <c r="U432" s="23"/>
      <c r="V432" s="23"/>
      <c r="W432" s="41"/>
      <c r="X432" s="24"/>
      <c r="Y432" s="24"/>
      <c r="Z432" s="24"/>
      <c r="AA432" s="24"/>
    </row>
    <row r="433" spans="1:27" s="44" customFormat="1" x14ac:dyDescent="0.3">
      <c r="A433" s="38"/>
      <c r="B433" s="50"/>
      <c r="C433" s="51"/>
      <c r="D433" s="31"/>
      <c r="E433" s="38"/>
      <c r="F433" s="38"/>
      <c r="G433" s="38"/>
      <c r="H433" s="38"/>
      <c r="I433" s="38"/>
      <c r="J433" s="56"/>
      <c r="K433" s="40"/>
      <c r="L433" s="40"/>
      <c r="M433" s="23"/>
      <c r="N433" s="23"/>
      <c r="O433" s="41"/>
      <c r="P433" s="41"/>
      <c r="Q433" s="41"/>
      <c r="R433" s="25"/>
      <c r="S433" s="23"/>
      <c r="T433" s="23"/>
      <c r="U433" s="23"/>
      <c r="V433" s="23"/>
      <c r="W433" s="41"/>
      <c r="X433" s="24"/>
      <c r="Y433" s="24"/>
      <c r="Z433" s="24"/>
      <c r="AA433" s="24"/>
    </row>
    <row r="434" spans="1:27" s="44" customFormat="1" x14ac:dyDescent="0.3">
      <c r="A434" s="38"/>
      <c r="B434" s="50"/>
      <c r="C434" s="51"/>
      <c r="D434" s="31"/>
      <c r="E434" s="38"/>
      <c r="F434" s="38"/>
      <c r="G434" s="38"/>
      <c r="H434" s="38"/>
      <c r="I434" s="38"/>
      <c r="J434" s="39"/>
      <c r="K434" s="40"/>
      <c r="L434" s="40"/>
      <c r="M434" s="23"/>
      <c r="N434" s="23"/>
      <c r="O434" s="41"/>
      <c r="P434" s="23"/>
      <c r="Q434" s="23"/>
      <c r="R434" s="25"/>
      <c r="S434" s="23"/>
      <c r="T434" s="23"/>
      <c r="U434" s="23"/>
      <c r="V434" s="23"/>
      <c r="W434" s="41"/>
      <c r="X434" s="24"/>
      <c r="Y434" s="24"/>
      <c r="Z434" s="24"/>
      <c r="AA434" s="24"/>
    </row>
    <row r="435" spans="1:27" s="44" customFormat="1" x14ac:dyDescent="0.3">
      <c r="A435" s="38"/>
      <c r="B435" s="50"/>
      <c r="C435" s="51"/>
      <c r="D435" s="31"/>
      <c r="E435" s="38"/>
      <c r="F435" s="38"/>
      <c r="G435" s="38"/>
      <c r="H435" s="38"/>
      <c r="I435" s="38"/>
      <c r="J435" s="39"/>
      <c r="K435" s="40"/>
      <c r="L435" s="40"/>
      <c r="M435" s="23"/>
      <c r="N435" s="23"/>
      <c r="O435" s="41"/>
      <c r="P435" s="23"/>
      <c r="Q435" s="23"/>
      <c r="R435" s="25"/>
      <c r="S435" s="23"/>
      <c r="T435" s="23"/>
      <c r="U435" s="23"/>
      <c r="V435" s="23"/>
      <c r="W435" s="41"/>
      <c r="X435" s="24"/>
      <c r="Y435" s="24"/>
      <c r="Z435" s="24"/>
      <c r="AA435" s="24"/>
    </row>
    <row r="436" spans="1:27" x14ac:dyDescent="0.3">
      <c r="C436" s="51"/>
      <c r="D436" s="31"/>
      <c r="J436" s="39"/>
      <c r="K436" s="40"/>
      <c r="L436" s="40"/>
      <c r="M436" s="23"/>
      <c r="N436" s="23"/>
      <c r="P436" s="23"/>
      <c r="Q436" s="23"/>
      <c r="R436" s="25"/>
      <c r="S436" s="23"/>
      <c r="T436" s="23"/>
      <c r="U436" s="23"/>
      <c r="V436" s="23"/>
    </row>
    <row r="437" spans="1:27" x14ac:dyDescent="0.3">
      <c r="C437" s="51"/>
      <c r="D437" s="31"/>
      <c r="J437" s="39"/>
      <c r="K437" s="40"/>
      <c r="L437" s="40"/>
      <c r="M437" s="23"/>
      <c r="N437" s="23"/>
      <c r="P437" s="23"/>
      <c r="Q437" s="23"/>
      <c r="R437" s="25"/>
      <c r="S437" s="23"/>
      <c r="T437" s="23"/>
      <c r="U437" s="23"/>
      <c r="V437" s="23"/>
    </row>
    <row r="438" spans="1:27" s="44" customFormat="1" x14ac:dyDescent="0.3">
      <c r="A438" s="38"/>
      <c r="B438" s="50"/>
      <c r="C438" s="51"/>
      <c r="D438" s="31"/>
      <c r="E438" s="38"/>
      <c r="F438" s="38"/>
      <c r="G438" s="38"/>
      <c r="H438" s="38"/>
      <c r="I438" s="38"/>
      <c r="J438" s="39"/>
      <c r="K438" s="40"/>
      <c r="L438" s="40"/>
      <c r="M438" s="23"/>
      <c r="N438" s="23"/>
      <c r="O438" s="41"/>
      <c r="P438" s="23"/>
      <c r="Q438" s="23"/>
      <c r="R438" s="25"/>
      <c r="S438" s="23"/>
      <c r="T438" s="23"/>
      <c r="U438" s="23"/>
      <c r="V438" s="23"/>
      <c r="W438" s="41"/>
      <c r="X438" s="24"/>
      <c r="Y438" s="24"/>
      <c r="Z438" s="24"/>
      <c r="AA438" s="24"/>
    </row>
    <row r="439" spans="1:27" s="44" customFormat="1" x14ac:dyDescent="0.3">
      <c r="A439" s="38"/>
      <c r="B439" s="50"/>
      <c r="C439" s="51"/>
      <c r="D439" s="31"/>
      <c r="E439" s="38"/>
      <c r="F439" s="38"/>
      <c r="G439" s="38"/>
      <c r="H439" s="38"/>
      <c r="I439" s="38"/>
      <c r="J439" s="56"/>
      <c r="K439" s="40"/>
      <c r="L439" s="40"/>
      <c r="M439" s="23"/>
      <c r="N439" s="23"/>
      <c r="O439" s="41"/>
      <c r="P439" s="41"/>
      <c r="Q439" s="41"/>
      <c r="R439" s="25"/>
      <c r="S439" s="23"/>
      <c r="T439" s="23"/>
      <c r="U439" s="23"/>
      <c r="V439" s="23"/>
      <c r="W439" s="41"/>
      <c r="X439" s="24"/>
      <c r="Y439" s="24"/>
      <c r="Z439" s="24"/>
      <c r="AA439" s="24"/>
    </row>
    <row r="440" spans="1:27" s="60" customFormat="1" x14ac:dyDescent="0.3">
      <c r="A440" s="38"/>
      <c r="B440" s="50"/>
      <c r="C440" s="51"/>
      <c r="D440" s="31"/>
      <c r="E440" s="38"/>
      <c r="F440" s="38"/>
      <c r="G440" s="38"/>
      <c r="H440" s="38"/>
      <c r="I440" s="38"/>
      <c r="J440" s="56"/>
      <c r="K440" s="40"/>
      <c r="L440" s="40"/>
      <c r="M440" s="23"/>
      <c r="N440" s="23"/>
      <c r="O440" s="41"/>
      <c r="P440" s="41"/>
      <c r="Q440" s="41"/>
      <c r="R440" s="25"/>
      <c r="S440" s="23"/>
      <c r="T440" s="23"/>
      <c r="U440" s="23"/>
      <c r="V440" s="23"/>
      <c r="W440" s="41"/>
      <c r="X440" s="24"/>
      <c r="Y440" s="24"/>
      <c r="Z440" s="24"/>
      <c r="AA440" s="24"/>
    </row>
    <row r="441" spans="1:27" s="60" customFormat="1" x14ac:dyDescent="0.3">
      <c r="A441" s="38"/>
      <c r="B441" s="50"/>
      <c r="C441" s="51"/>
      <c r="D441" s="31"/>
      <c r="E441" s="38"/>
      <c r="F441" s="38"/>
      <c r="G441" s="38"/>
      <c r="H441" s="38"/>
      <c r="I441" s="38"/>
      <c r="J441" s="56"/>
      <c r="K441" s="40"/>
      <c r="L441" s="40"/>
      <c r="M441" s="23"/>
      <c r="N441" s="23"/>
      <c r="O441" s="41"/>
      <c r="P441" s="41"/>
      <c r="Q441" s="41"/>
      <c r="R441" s="25"/>
      <c r="S441" s="23"/>
      <c r="T441" s="23"/>
      <c r="U441" s="23"/>
      <c r="V441" s="23"/>
      <c r="W441" s="41"/>
      <c r="X441" s="24"/>
      <c r="Y441" s="24"/>
      <c r="Z441" s="24"/>
      <c r="AA441" s="24"/>
    </row>
    <row r="442" spans="1:27" s="60" customFormat="1" x14ac:dyDescent="0.3">
      <c r="A442" s="38"/>
      <c r="B442" s="50"/>
      <c r="C442" s="51"/>
      <c r="D442" s="31"/>
      <c r="E442" s="38"/>
      <c r="F442" s="38"/>
      <c r="G442" s="38"/>
      <c r="H442" s="38"/>
      <c r="I442" s="38"/>
      <c r="J442" s="56"/>
      <c r="K442" s="40"/>
      <c r="L442" s="40"/>
      <c r="M442" s="23"/>
      <c r="N442" s="23"/>
      <c r="O442" s="41"/>
      <c r="P442" s="41"/>
      <c r="Q442" s="41"/>
      <c r="R442" s="25"/>
      <c r="S442" s="23"/>
      <c r="T442" s="23"/>
      <c r="U442" s="23"/>
      <c r="V442" s="23"/>
      <c r="W442" s="41"/>
      <c r="X442" s="24"/>
      <c r="Y442" s="24"/>
      <c r="Z442" s="24"/>
      <c r="AA442" s="24"/>
    </row>
    <row r="443" spans="1:27" s="60" customFormat="1" x14ac:dyDescent="0.3">
      <c r="A443" s="38"/>
      <c r="B443" s="50"/>
      <c r="C443" s="51"/>
      <c r="D443" s="31"/>
      <c r="E443" s="38"/>
      <c r="F443" s="38"/>
      <c r="G443" s="38"/>
      <c r="H443" s="38"/>
      <c r="I443" s="38"/>
      <c r="J443" s="56"/>
      <c r="K443" s="40"/>
      <c r="L443" s="40"/>
      <c r="M443" s="23"/>
      <c r="N443" s="23"/>
      <c r="O443" s="41"/>
      <c r="P443" s="41"/>
      <c r="Q443" s="41"/>
      <c r="R443" s="25"/>
      <c r="S443" s="23"/>
      <c r="T443" s="23"/>
      <c r="U443" s="23"/>
      <c r="V443" s="23"/>
      <c r="W443" s="41"/>
      <c r="X443" s="24"/>
      <c r="Y443" s="24"/>
      <c r="Z443" s="24"/>
      <c r="AA443" s="24"/>
    </row>
    <row r="444" spans="1:27" s="60" customFormat="1" x14ac:dyDescent="0.3">
      <c r="A444" s="38"/>
      <c r="B444" s="50"/>
      <c r="C444" s="51"/>
      <c r="D444" s="31"/>
      <c r="E444" s="38"/>
      <c r="F444" s="38"/>
      <c r="G444" s="38"/>
      <c r="H444" s="38"/>
      <c r="I444" s="38"/>
      <c r="J444" s="56"/>
      <c r="K444" s="40"/>
      <c r="L444" s="40"/>
      <c r="M444" s="23"/>
      <c r="N444" s="23"/>
      <c r="O444" s="41"/>
      <c r="P444" s="41"/>
      <c r="Q444" s="41"/>
      <c r="R444" s="25"/>
      <c r="S444" s="23"/>
      <c r="T444" s="23"/>
      <c r="U444" s="23"/>
      <c r="V444" s="23"/>
      <c r="W444" s="41"/>
      <c r="X444" s="24"/>
      <c r="Y444" s="24"/>
      <c r="Z444" s="24"/>
      <c r="AA444" s="24"/>
    </row>
    <row r="445" spans="1:27" s="44" customFormat="1" ht="12.6" customHeight="1" x14ac:dyDescent="0.3">
      <c r="A445" s="38"/>
      <c r="B445" s="50"/>
      <c r="C445" s="51"/>
      <c r="D445" s="38"/>
      <c r="E445" s="38"/>
      <c r="F445" s="38"/>
      <c r="G445" s="38"/>
      <c r="H445" s="38"/>
      <c r="I445" s="38"/>
      <c r="J445" s="56"/>
      <c r="K445" s="57"/>
      <c r="L445" s="57"/>
      <c r="M445" s="23"/>
      <c r="N445" s="23"/>
      <c r="O445" s="41"/>
      <c r="P445" s="41"/>
      <c r="Q445" s="41"/>
      <c r="R445" s="25"/>
      <c r="S445" s="23"/>
      <c r="T445" s="23"/>
      <c r="U445" s="23"/>
      <c r="V445" s="23"/>
      <c r="W445" s="41"/>
      <c r="X445" s="24"/>
      <c r="Y445" s="24"/>
      <c r="Z445" s="24"/>
      <c r="AA445" s="24"/>
    </row>
    <row r="446" spans="1:27" s="44" customFormat="1" x14ac:dyDescent="0.3">
      <c r="A446" s="38"/>
      <c r="B446" s="50"/>
      <c r="C446" s="51"/>
      <c r="D446" s="31"/>
      <c r="E446" s="38"/>
      <c r="F446" s="38"/>
      <c r="G446" s="38"/>
      <c r="H446" s="38"/>
      <c r="I446" s="38"/>
      <c r="J446" s="39"/>
      <c r="K446" s="40"/>
      <c r="L446" s="40"/>
      <c r="M446" s="23"/>
      <c r="N446" s="23"/>
      <c r="O446" s="41"/>
      <c r="P446" s="23"/>
      <c r="Q446" s="23"/>
      <c r="R446" s="25"/>
      <c r="S446" s="23"/>
      <c r="T446" s="23"/>
      <c r="U446" s="23"/>
      <c r="V446" s="23"/>
      <c r="W446" s="41"/>
      <c r="X446" s="24"/>
      <c r="Y446" s="24"/>
      <c r="Z446" s="24"/>
      <c r="AA446" s="24"/>
    </row>
    <row r="447" spans="1:27" s="44" customFormat="1" x14ac:dyDescent="0.3">
      <c r="A447" s="38"/>
      <c r="B447" s="50"/>
      <c r="C447" s="51"/>
      <c r="D447" s="31"/>
      <c r="E447" s="38"/>
      <c r="F447" s="38"/>
      <c r="G447" s="38"/>
      <c r="H447" s="38"/>
      <c r="I447" s="38"/>
      <c r="J447" s="39"/>
      <c r="K447" s="40"/>
      <c r="L447" s="40"/>
      <c r="M447" s="23"/>
      <c r="N447" s="23"/>
      <c r="O447" s="41"/>
      <c r="P447" s="23"/>
      <c r="Q447" s="23"/>
      <c r="R447" s="25"/>
      <c r="S447" s="23"/>
      <c r="T447" s="23"/>
      <c r="U447" s="23"/>
      <c r="V447" s="23"/>
      <c r="W447" s="41"/>
      <c r="X447" s="24"/>
      <c r="Y447" s="24"/>
      <c r="Z447" s="24"/>
      <c r="AA447" s="24"/>
    </row>
    <row r="448" spans="1:27" s="44" customFormat="1" x14ac:dyDescent="0.3">
      <c r="A448" s="38"/>
      <c r="B448" s="50"/>
      <c r="C448" s="51"/>
      <c r="D448" s="31"/>
      <c r="E448" s="38"/>
      <c r="F448" s="38"/>
      <c r="G448" s="38"/>
      <c r="H448" s="38"/>
      <c r="I448" s="38"/>
      <c r="J448" s="39"/>
      <c r="K448" s="40"/>
      <c r="L448" s="40"/>
      <c r="M448" s="23"/>
      <c r="N448" s="23"/>
      <c r="O448" s="41"/>
      <c r="P448" s="23"/>
      <c r="Q448" s="23"/>
      <c r="R448" s="25"/>
      <c r="S448" s="23"/>
      <c r="T448" s="23"/>
      <c r="U448" s="23"/>
      <c r="V448" s="23"/>
      <c r="W448" s="41"/>
      <c r="X448" s="24"/>
      <c r="Y448" s="24"/>
      <c r="Z448" s="24"/>
      <c r="AA448" s="24"/>
    </row>
    <row r="449" spans="1:27" s="44" customFormat="1" x14ac:dyDescent="0.3">
      <c r="A449" s="38"/>
      <c r="B449" s="50"/>
      <c r="C449" s="51"/>
      <c r="D449" s="31"/>
      <c r="E449" s="38"/>
      <c r="F449" s="38"/>
      <c r="G449" s="38"/>
      <c r="H449" s="38"/>
      <c r="I449" s="38"/>
      <c r="J449" s="39"/>
      <c r="K449" s="40"/>
      <c r="L449" s="40"/>
      <c r="M449" s="23"/>
      <c r="N449" s="23"/>
      <c r="O449" s="41"/>
      <c r="P449" s="23"/>
      <c r="Q449" s="23"/>
      <c r="R449" s="25"/>
      <c r="S449" s="23"/>
      <c r="T449" s="23"/>
      <c r="U449" s="23"/>
      <c r="V449" s="23"/>
      <c r="W449" s="41"/>
      <c r="X449" s="24"/>
      <c r="Y449" s="24"/>
      <c r="Z449" s="24"/>
      <c r="AA449" s="24"/>
    </row>
    <row r="450" spans="1:27" s="44" customFormat="1" x14ac:dyDescent="0.3">
      <c r="A450" s="38"/>
      <c r="B450" s="50"/>
      <c r="C450" s="51"/>
      <c r="D450" s="31"/>
      <c r="E450" s="38"/>
      <c r="F450" s="38"/>
      <c r="G450" s="38"/>
      <c r="H450" s="38"/>
      <c r="I450" s="38"/>
      <c r="J450" s="39"/>
      <c r="K450" s="40"/>
      <c r="L450" s="40"/>
      <c r="M450" s="23"/>
      <c r="N450" s="23"/>
      <c r="O450" s="41"/>
      <c r="P450" s="23"/>
      <c r="Q450" s="23"/>
      <c r="R450" s="25"/>
      <c r="S450" s="23"/>
      <c r="T450" s="23"/>
      <c r="U450" s="23"/>
      <c r="V450" s="23"/>
      <c r="W450" s="41"/>
      <c r="X450" s="24"/>
      <c r="Y450" s="24"/>
      <c r="Z450" s="24"/>
      <c r="AA450" s="24"/>
    </row>
    <row r="451" spans="1:27" s="44" customFormat="1" x14ac:dyDescent="0.3">
      <c r="A451" s="38"/>
      <c r="B451" s="50"/>
      <c r="C451" s="51"/>
      <c r="D451" s="31"/>
      <c r="E451" s="38"/>
      <c r="F451" s="38"/>
      <c r="G451" s="38"/>
      <c r="H451" s="38"/>
      <c r="I451" s="38"/>
      <c r="J451" s="39"/>
      <c r="K451" s="40"/>
      <c r="L451" s="40"/>
      <c r="M451" s="23"/>
      <c r="N451" s="23"/>
      <c r="O451" s="41"/>
      <c r="P451" s="23"/>
      <c r="Q451" s="23"/>
      <c r="R451" s="25"/>
      <c r="S451" s="23"/>
      <c r="T451" s="23"/>
      <c r="U451" s="23"/>
      <c r="V451" s="23"/>
      <c r="W451" s="41"/>
      <c r="X451" s="24"/>
      <c r="Y451" s="24"/>
      <c r="Z451" s="24"/>
      <c r="AA451" s="24"/>
    </row>
    <row r="452" spans="1:27" s="44" customFormat="1" x14ac:dyDescent="0.3">
      <c r="A452" s="38"/>
      <c r="B452" s="50"/>
      <c r="C452" s="51"/>
      <c r="D452" s="31"/>
      <c r="E452" s="38"/>
      <c r="F452" s="38"/>
      <c r="G452" s="38"/>
      <c r="H452" s="38"/>
      <c r="I452" s="38"/>
      <c r="J452" s="39"/>
      <c r="K452" s="40"/>
      <c r="L452" s="40"/>
      <c r="M452" s="23"/>
      <c r="N452" s="23"/>
      <c r="O452" s="41"/>
      <c r="P452" s="41"/>
      <c r="Q452" s="41"/>
      <c r="R452" s="25"/>
      <c r="S452" s="23"/>
      <c r="T452" s="23"/>
      <c r="U452" s="23"/>
      <c r="V452" s="23"/>
      <c r="W452" s="41"/>
      <c r="X452" s="24"/>
      <c r="Y452" s="24"/>
      <c r="Z452" s="24"/>
      <c r="AA452" s="24"/>
    </row>
    <row r="453" spans="1:27" s="44" customFormat="1" x14ac:dyDescent="0.3">
      <c r="A453" s="38"/>
      <c r="B453" s="50"/>
      <c r="C453" s="51"/>
      <c r="D453" s="31"/>
      <c r="E453" s="38"/>
      <c r="F453" s="38"/>
      <c r="G453" s="38"/>
      <c r="H453" s="38"/>
      <c r="I453" s="38"/>
      <c r="J453" s="39"/>
      <c r="K453" s="40"/>
      <c r="L453" s="40"/>
      <c r="M453" s="23"/>
      <c r="N453" s="23"/>
      <c r="O453" s="41"/>
      <c r="P453" s="41"/>
      <c r="Q453" s="41"/>
      <c r="R453" s="25"/>
      <c r="S453" s="23"/>
      <c r="T453" s="23"/>
      <c r="U453" s="23"/>
      <c r="V453" s="23"/>
      <c r="W453" s="41"/>
      <c r="X453" s="24"/>
      <c r="Y453" s="24"/>
      <c r="Z453" s="24"/>
      <c r="AA453" s="24"/>
    </row>
    <row r="454" spans="1:27" s="44" customFormat="1" x14ac:dyDescent="0.3">
      <c r="A454" s="38"/>
      <c r="B454" s="50"/>
      <c r="C454" s="51"/>
      <c r="D454" s="31"/>
      <c r="E454" s="38"/>
      <c r="F454" s="38"/>
      <c r="G454" s="38"/>
      <c r="H454" s="38"/>
      <c r="I454" s="38"/>
      <c r="J454" s="39"/>
      <c r="K454" s="40"/>
      <c r="L454" s="40"/>
      <c r="M454" s="23"/>
      <c r="N454" s="23"/>
      <c r="O454" s="41"/>
      <c r="P454" s="41"/>
      <c r="Q454" s="41"/>
      <c r="R454" s="25"/>
      <c r="S454" s="23"/>
      <c r="T454" s="23"/>
      <c r="U454" s="23"/>
      <c r="V454" s="23"/>
      <c r="W454" s="41"/>
      <c r="X454" s="24"/>
      <c r="Y454" s="24"/>
      <c r="Z454" s="24"/>
      <c r="AA454" s="24"/>
    </row>
    <row r="455" spans="1:27" s="44" customFormat="1" x14ac:dyDescent="0.3">
      <c r="A455" s="38"/>
      <c r="B455" s="50"/>
      <c r="C455" s="51"/>
      <c r="D455" s="31"/>
      <c r="E455" s="38"/>
      <c r="F455" s="38"/>
      <c r="G455" s="38"/>
      <c r="H455" s="38"/>
      <c r="I455" s="38"/>
      <c r="J455" s="39"/>
      <c r="K455" s="40"/>
      <c r="L455" s="40"/>
      <c r="M455" s="23"/>
      <c r="N455" s="23"/>
      <c r="O455" s="41"/>
      <c r="P455" s="41"/>
      <c r="Q455" s="41"/>
      <c r="R455" s="25"/>
      <c r="S455" s="23"/>
      <c r="T455" s="23"/>
      <c r="U455" s="23"/>
      <c r="V455" s="23"/>
      <c r="W455" s="41"/>
      <c r="X455" s="24"/>
      <c r="Y455" s="24"/>
      <c r="Z455" s="24"/>
      <c r="AA455" s="24"/>
    </row>
    <row r="456" spans="1:27" s="44" customFormat="1" x14ac:dyDescent="0.3">
      <c r="A456" s="38"/>
      <c r="B456" s="50"/>
      <c r="C456" s="51"/>
      <c r="D456" s="31"/>
      <c r="E456" s="38"/>
      <c r="F456" s="38"/>
      <c r="G456" s="38"/>
      <c r="H456" s="38"/>
      <c r="I456" s="38"/>
      <c r="J456" s="39"/>
      <c r="K456" s="40"/>
      <c r="L456" s="40"/>
      <c r="M456" s="23"/>
      <c r="N456" s="23"/>
      <c r="O456" s="41"/>
      <c r="P456" s="41"/>
      <c r="Q456" s="41"/>
      <c r="R456" s="25"/>
      <c r="S456" s="23"/>
      <c r="T456" s="23"/>
      <c r="U456" s="23"/>
      <c r="V456" s="23"/>
      <c r="W456" s="41"/>
      <c r="X456" s="24"/>
      <c r="Y456" s="24"/>
      <c r="Z456" s="24"/>
      <c r="AA456" s="24"/>
    </row>
    <row r="457" spans="1:27" s="44" customFormat="1" x14ac:dyDescent="0.3">
      <c r="A457" s="38"/>
      <c r="B457" s="50"/>
      <c r="C457" s="51"/>
      <c r="D457" s="31"/>
      <c r="E457" s="38"/>
      <c r="F457" s="38"/>
      <c r="G457" s="38"/>
      <c r="H457" s="38"/>
      <c r="I457" s="38"/>
      <c r="J457" s="39"/>
      <c r="K457" s="40"/>
      <c r="L457" s="40"/>
      <c r="M457" s="23"/>
      <c r="N457" s="23"/>
      <c r="O457" s="41"/>
      <c r="P457" s="41"/>
      <c r="Q457" s="41"/>
      <c r="R457" s="25"/>
      <c r="S457" s="23"/>
      <c r="T457" s="23"/>
      <c r="U457" s="23"/>
      <c r="V457" s="23"/>
      <c r="W457" s="41"/>
      <c r="X457" s="24"/>
      <c r="Y457" s="24"/>
      <c r="Z457" s="24"/>
      <c r="AA457" s="24"/>
    </row>
    <row r="458" spans="1:27" s="44" customFormat="1" x14ac:dyDescent="0.3">
      <c r="A458" s="38"/>
      <c r="B458" s="50"/>
      <c r="C458" s="51"/>
      <c r="D458" s="31"/>
      <c r="E458" s="38"/>
      <c r="F458" s="38"/>
      <c r="G458" s="38"/>
      <c r="H458" s="38"/>
      <c r="I458" s="38"/>
      <c r="J458" s="39"/>
      <c r="K458" s="40"/>
      <c r="L458" s="40"/>
      <c r="M458" s="23"/>
      <c r="N458" s="23"/>
      <c r="O458" s="41"/>
      <c r="P458" s="41"/>
      <c r="Q458" s="41"/>
      <c r="R458" s="25"/>
      <c r="S458" s="23"/>
      <c r="T458" s="23"/>
      <c r="U458" s="23"/>
      <c r="V458" s="23"/>
      <c r="W458" s="41"/>
      <c r="X458" s="24"/>
      <c r="Y458" s="24"/>
      <c r="Z458" s="24"/>
      <c r="AA458" s="24"/>
    </row>
    <row r="459" spans="1:27" s="44" customFormat="1" x14ac:dyDescent="0.3">
      <c r="A459" s="38"/>
      <c r="B459" s="50"/>
      <c r="C459" s="51"/>
      <c r="D459" s="31"/>
      <c r="E459" s="38"/>
      <c r="F459" s="38"/>
      <c r="G459" s="38"/>
      <c r="H459" s="38"/>
      <c r="I459" s="38"/>
      <c r="J459" s="39"/>
      <c r="K459" s="40"/>
      <c r="L459" s="40"/>
      <c r="M459" s="23"/>
      <c r="N459" s="23"/>
      <c r="O459" s="41"/>
      <c r="P459" s="41"/>
      <c r="Q459" s="41"/>
      <c r="R459" s="25"/>
      <c r="S459" s="23"/>
      <c r="T459" s="23"/>
      <c r="U459" s="23"/>
      <c r="V459" s="23"/>
      <c r="W459" s="41"/>
      <c r="X459" s="24"/>
      <c r="Y459" s="24"/>
      <c r="Z459" s="24"/>
      <c r="AA459" s="24"/>
    </row>
    <row r="460" spans="1:27" s="44" customFormat="1" x14ac:dyDescent="0.3">
      <c r="A460" s="38"/>
      <c r="B460" s="50"/>
      <c r="C460" s="51"/>
      <c r="D460" s="31"/>
      <c r="E460" s="38"/>
      <c r="F460" s="38"/>
      <c r="G460" s="38"/>
      <c r="H460" s="38"/>
      <c r="I460" s="38"/>
      <c r="J460" s="39"/>
      <c r="K460" s="40"/>
      <c r="L460" s="40"/>
      <c r="M460" s="23"/>
      <c r="N460" s="23"/>
      <c r="O460" s="41"/>
      <c r="P460" s="41"/>
      <c r="Q460" s="41"/>
      <c r="R460" s="25"/>
      <c r="S460" s="23"/>
      <c r="T460" s="23"/>
      <c r="U460" s="23"/>
      <c r="V460" s="23"/>
      <c r="W460" s="41"/>
      <c r="X460" s="24"/>
      <c r="Y460" s="24"/>
      <c r="Z460" s="24"/>
      <c r="AA460" s="24"/>
    </row>
    <row r="461" spans="1:27" s="44" customFormat="1" ht="13.8" x14ac:dyDescent="0.3">
      <c r="A461" s="38"/>
      <c r="B461" s="50"/>
      <c r="C461" s="51"/>
      <c r="D461" s="31"/>
      <c r="E461" s="61"/>
      <c r="F461" s="61"/>
      <c r="G461" s="38"/>
      <c r="H461" s="38"/>
      <c r="I461" s="38"/>
      <c r="J461" s="56"/>
      <c r="K461" s="40"/>
      <c r="L461" s="40"/>
      <c r="M461" s="23"/>
      <c r="N461" s="23"/>
      <c r="O461" s="41"/>
      <c r="P461" s="41"/>
      <c r="Q461" s="41"/>
      <c r="R461" s="25"/>
      <c r="S461" s="23"/>
      <c r="T461" s="23"/>
      <c r="U461" s="23"/>
      <c r="V461" s="23"/>
      <c r="W461" s="41"/>
      <c r="X461" s="24"/>
      <c r="Y461" s="24"/>
      <c r="Z461" s="24"/>
      <c r="AA461" s="24"/>
    </row>
    <row r="462" spans="1:27" s="44" customFormat="1" ht="13.8" x14ac:dyDescent="0.3">
      <c r="A462" s="38"/>
      <c r="B462" s="50"/>
      <c r="C462" s="51"/>
      <c r="D462" s="31"/>
      <c r="E462" s="61"/>
      <c r="F462" s="61"/>
      <c r="G462" s="38"/>
      <c r="H462" s="38"/>
      <c r="I462" s="38"/>
      <c r="J462" s="56"/>
      <c r="K462" s="40"/>
      <c r="L462" s="40"/>
      <c r="M462" s="23"/>
      <c r="N462" s="23"/>
      <c r="O462" s="41"/>
      <c r="P462" s="41"/>
      <c r="Q462" s="41"/>
      <c r="R462" s="25"/>
      <c r="S462" s="23"/>
      <c r="T462" s="23"/>
      <c r="U462" s="23"/>
      <c r="V462" s="23"/>
      <c r="W462" s="41"/>
      <c r="X462" s="24"/>
      <c r="Y462" s="24"/>
      <c r="Z462" s="24"/>
      <c r="AA462" s="24"/>
    </row>
    <row r="463" spans="1:27" s="44" customFormat="1" ht="13.8" x14ac:dyDescent="0.3">
      <c r="A463" s="38"/>
      <c r="B463" s="50"/>
      <c r="C463" s="51"/>
      <c r="D463" s="31"/>
      <c r="E463" s="61"/>
      <c r="F463" s="61"/>
      <c r="G463" s="38"/>
      <c r="H463" s="38"/>
      <c r="I463" s="38"/>
      <c r="J463" s="56"/>
      <c r="K463" s="40"/>
      <c r="L463" s="40"/>
      <c r="M463" s="23"/>
      <c r="N463" s="23"/>
      <c r="O463" s="41"/>
      <c r="P463" s="41"/>
      <c r="Q463" s="41"/>
      <c r="R463" s="25"/>
      <c r="S463" s="23"/>
      <c r="T463" s="23"/>
      <c r="U463" s="23"/>
      <c r="V463" s="23"/>
      <c r="W463" s="41"/>
      <c r="X463" s="24"/>
      <c r="Y463" s="24"/>
      <c r="Z463" s="24"/>
      <c r="AA463" s="24"/>
    </row>
    <row r="464" spans="1:27" s="44" customFormat="1" ht="13.8" x14ac:dyDescent="0.3">
      <c r="A464" s="38"/>
      <c r="B464" s="50"/>
      <c r="C464" s="51"/>
      <c r="D464" s="31"/>
      <c r="E464" s="61"/>
      <c r="F464" s="61"/>
      <c r="G464" s="38"/>
      <c r="H464" s="38"/>
      <c r="I464" s="38"/>
      <c r="J464" s="56"/>
      <c r="K464" s="40"/>
      <c r="L464" s="40"/>
      <c r="M464" s="23"/>
      <c r="N464" s="23"/>
      <c r="O464" s="41"/>
      <c r="P464" s="41"/>
      <c r="Q464" s="41"/>
      <c r="R464" s="25"/>
      <c r="S464" s="23"/>
      <c r="T464" s="23"/>
      <c r="U464" s="23"/>
      <c r="V464" s="23"/>
      <c r="W464" s="41"/>
      <c r="X464" s="24"/>
      <c r="Y464" s="24"/>
      <c r="Z464" s="24"/>
      <c r="AA464" s="24"/>
    </row>
    <row r="465" spans="1:27" s="44" customFormat="1" x14ac:dyDescent="0.3">
      <c r="A465" s="38"/>
      <c r="B465" s="50"/>
      <c r="C465" s="51"/>
      <c r="D465" s="31"/>
      <c r="E465" s="38"/>
      <c r="F465" s="38"/>
      <c r="G465" s="38"/>
      <c r="H465" s="38"/>
      <c r="I465" s="38"/>
      <c r="J465" s="56"/>
      <c r="K465" s="40"/>
      <c r="L465" s="40"/>
      <c r="M465" s="23"/>
      <c r="N465" s="23"/>
      <c r="O465" s="41"/>
      <c r="P465" s="41"/>
      <c r="Q465" s="41"/>
      <c r="R465" s="25"/>
      <c r="S465" s="23"/>
      <c r="T465" s="23"/>
      <c r="U465" s="23"/>
      <c r="V465" s="23"/>
      <c r="W465" s="41"/>
      <c r="X465" s="24"/>
      <c r="Y465" s="24"/>
      <c r="Z465" s="24"/>
      <c r="AA465" s="24"/>
    </row>
    <row r="466" spans="1:27" s="44" customFormat="1" x14ac:dyDescent="0.3">
      <c r="A466" s="38"/>
      <c r="B466" s="50"/>
      <c r="C466" s="51"/>
      <c r="D466" s="31"/>
      <c r="E466" s="38"/>
      <c r="F466" s="38"/>
      <c r="G466" s="38"/>
      <c r="H466" s="38"/>
      <c r="I466" s="38"/>
      <c r="J466" s="56"/>
      <c r="K466" s="40"/>
      <c r="L466" s="40"/>
      <c r="M466" s="23"/>
      <c r="N466" s="23"/>
      <c r="O466" s="41"/>
      <c r="P466" s="41"/>
      <c r="Q466" s="41"/>
      <c r="R466" s="25"/>
      <c r="S466" s="23"/>
      <c r="T466" s="23"/>
      <c r="U466" s="23"/>
      <c r="V466" s="23"/>
      <c r="W466" s="41"/>
      <c r="X466" s="24"/>
      <c r="Y466" s="24"/>
      <c r="Z466" s="24"/>
      <c r="AA466" s="24"/>
    </row>
    <row r="467" spans="1:27" s="44" customFormat="1" x14ac:dyDescent="0.3">
      <c r="A467" s="38"/>
      <c r="B467" s="50"/>
      <c r="C467" s="51"/>
      <c r="D467" s="31"/>
      <c r="E467" s="38"/>
      <c r="F467" s="38"/>
      <c r="G467" s="38"/>
      <c r="H467" s="38"/>
      <c r="I467" s="38"/>
      <c r="J467" s="56"/>
      <c r="K467" s="40"/>
      <c r="L467" s="40"/>
      <c r="M467" s="23"/>
      <c r="N467" s="23"/>
      <c r="O467" s="41"/>
      <c r="P467" s="41"/>
      <c r="Q467" s="41"/>
      <c r="R467" s="25"/>
      <c r="S467" s="23"/>
      <c r="T467" s="23"/>
      <c r="U467" s="23"/>
      <c r="V467" s="23"/>
      <c r="W467" s="41"/>
      <c r="X467" s="24"/>
      <c r="Y467" s="24"/>
      <c r="Z467" s="24"/>
      <c r="AA467" s="24"/>
    </row>
    <row r="468" spans="1:27" s="44" customFormat="1" x14ac:dyDescent="0.3">
      <c r="A468" s="38"/>
      <c r="B468" s="50"/>
      <c r="C468" s="51"/>
      <c r="D468" s="31"/>
      <c r="E468" s="38"/>
      <c r="F468" s="38"/>
      <c r="G468" s="38"/>
      <c r="H468" s="38"/>
      <c r="I468" s="38"/>
      <c r="J468" s="56"/>
      <c r="K468" s="40"/>
      <c r="L468" s="40"/>
      <c r="M468" s="23"/>
      <c r="N468" s="23"/>
      <c r="O468" s="41"/>
      <c r="P468" s="41"/>
      <c r="Q468" s="41"/>
      <c r="R468" s="25"/>
      <c r="S468" s="23"/>
      <c r="T468" s="23"/>
      <c r="U468" s="23"/>
      <c r="V468" s="23"/>
      <c r="W468" s="41"/>
      <c r="X468" s="24"/>
      <c r="Y468" s="24"/>
      <c r="Z468" s="24"/>
      <c r="AA468" s="24"/>
    </row>
    <row r="469" spans="1:27" s="44" customFormat="1" x14ac:dyDescent="0.3">
      <c r="A469" s="38"/>
      <c r="B469" s="50"/>
      <c r="C469" s="51"/>
      <c r="D469" s="31"/>
      <c r="E469" s="38"/>
      <c r="F469" s="38"/>
      <c r="G469" s="38"/>
      <c r="H469" s="38"/>
      <c r="I469" s="38"/>
      <c r="J469" s="56"/>
      <c r="K469" s="40"/>
      <c r="L469" s="40"/>
      <c r="M469" s="23"/>
      <c r="N469" s="23"/>
      <c r="O469" s="41"/>
      <c r="P469" s="41"/>
      <c r="Q469" s="41"/>
      <c r="R469" s="25"/>
      <c r="S469" s="23"/>
      <c r="T469" s="23"/>
      <c r="U469" s="23"/>
      <c r="V469" s="23"/>
      <c r="W469" s="41"/>
      <c r="X469" s="24"/>
      <c r="Y469" s="24"/>
      <c r="Z469" s="24"/>
      <c r="AA469" s="24"/>
    </row>
    <row r="470" spans="1:27" s="44" customFormat="1" x14ac:dyDescent="0.3">
      <c r="A470" s="38"/>
      <c r="B470" s="50"/>
      <c r="C470" s="51"/>
      <c r="D470" s="31"/>
      <c r="E470" s="38"/>
      <c r="F470" s="38"/>
      <c r="G470" s="38"/>
      <c r="H470" s="38"/>
      <c r="I470" s="38"/>
      <c r="J470" s="56"/>
      <c r="K470" s="40"/>
      <c r="L470" s="40"/>
      <c r="M470" s="23"/>
      <c r="N470" s="23"/>
      <c r="O470" s="41"/>
      <c r="P470" s="41"/>
      <c r="Q470" s="41"/>
      <c r="R470" s="25"/>
      <c r="S470" s="23"/>
      <c r="T470" s="23"/>
      <c r="U470" s="23"/>
      <c r="V470" s="23"/>
      <c r="W470" s="41"/>
      <c r="X470" s="24"/>
      <c r="Y470" s="24"/>
      <c r="Z470" s="24"/>
      <c r="AA470" s="24"/>
    </row>
    <row r="471" spans="1:27" s="44" customFormat="1" x14ac:dyDescent="0.3">
      <c r="A471" s="38"/>
      <c r="B471" s="50"/>
      <c r="C471" s="51"/>
      <c r="D471" s="31"/>
      <c r="E471" s="38"/>
      <c r="F471" s="38"/>
      <c r="G471" s="38"/>
      <c r="H471" s="38"/>
      <c r="I471" s="38"/>
      <c r="J471" s="56"/>
      <c r="K471" s="40"/>
      <c r="L471" s="40"/>
      <c r="M471" s="23"/>
      <c r="N471" s="23"/>
      <c r="O471" s="41"/>
      <c r="P471" s="41"/>
      <c r="Q471" s="41"/>
      <c r="R471" s="25"/>
      <c r="S471" s="23"/>
      <c r="T471" s="23"/>
      <c r="U471" s="23"/>
      <c r="V471" s="23"/>
      <c r="W471" s="41"/>
      <c r="X471" s="24"/>
      <c r="Y471" s="24"/>
      <c r="Z471" s="24"/>
      <c r="AA471" s="24"/>
    </row>
    <row r="472" spans="1:27" s="44" customFormat="1" x14ac:dyDescent="0.3">
      <c r="A472" s="38"/>
      <c r="B472" s="50"/>
      <c r="C472" s="51"/>
      <c r="D472" s="31"/>
      <c r="E472" s="38"/>
      <c r="F472" s="38"/>
      <c r="G472" s="38"/>
      <c r="H472" s="38"/>
      <c r="I472" s="38"/>
      <c r="J472" s="56"/>
      <c r="K472" s="40"/>
      <c r="L472" s="40"/>
      <c r="M472" s="23"/>
      <c r="N472" s="23"/>
      <c r="O472" s="41"/>
      <c r="P472" s="41"/>
      <c r="Q472" s="41"/>
      <c r="R472" s="25"/>
      <c r="S472" s="23"/>
      <c r="T472" s="23"/>
      <c r="U472" s="23"/>
      <c r="V472" s="23"/>
      <c r="W472" s="41"/>
      <c r="X472" s="24"/>
      <c r="Y472" s="24"/>
      <c r="Z472" s="24"/>
      <c r="AA472" s="24"/>
    </row>
    <row r="473" spans="1:27" s="44" customFormat="1" ht="16.2" customHeight="1" x14ac:dyDescent="0.3">
      <c r="A473" s="38"/>
      <c r="B473" s="50"/>
      <c r="C473" s="51"/>
      <c r="D473" s="31"/>
      <c r="E473" s="38"/>
      <c r="F473" s="38"/>
      <c r="G473" s="38"/>
      <c r="H473" s="38"/>
      <c r="I473" s="38"/>
      <c r="J473" s="56"/>
      <c r="K473" s="40"/>
      <c r="L473" s="40"/>
      <c r="M473" s="23"/>
      <c r="N473" s="23"/>
      <c r="O473" s="41"/>
      <c r="P473" s="41"/>
      <c r="Q473" s="41"/>
      <c r="R473" s="25"/>
      <c r="S473" s="23"/>
      <c r="T473" s="23"/>
      <c r="U473" s="23"/>
      <c r="V473" s="23"/>
      <c r="W473" s="41"/>
      <c r="X473" s="24"/>
      <c r="Y473" s="24"/>
      <c r="Z473" s="24"/>
      <c r="AA473" s="24"/>
    </row>
    <row r="474" spans="1:27" s="44" customFormat="1" x14ac:dyDescent="0.3">
      <c r="A474" s="38"/>
      <c r="B474" s="50"/>
      <c r="C474" s="51"/>
      <c r="D474" s="31"/>
      <c r="E474" s="38"/>
      <c r="F474" s="38"/>
      <c r="G474" s="38"/>
      <c r="H474" s="38"/>
      <c r="I474" s="38"/>
      <c r="J474" s="56"/>
      <c r="K474" s="40"/>
      <c r="L474" s="40"/>
      <c r="M474" s="23"/>
      <c r="N474" s="23"/>
      <c r="O474" s="41"/>
      <c r="P474" s="41"/>
      <c r="Q474" s="41"/>
      <c r="R474" s="25"/>
      <c r="S474" s="23"/>
      <c r="T474" s="23"/>
      <c r="U474" s="23"/>
      <c r="V474" s="23"/>
      <c r="W474" s="41"/>
      <c r="X474" s="24"/>
      <c r="Y474" s="24"/>
      <c r="Z474" s="24"/>
      <c r="AA474" s="24"/>
    </row>
    <row r="475" spans="1:27" s="44" customFormat="1" x14ac:dyDescent="0.3">
      <c r="A475" s="38"/>
      <c r="B475" s="50"/>
      <c r="C475" s="51"/>
      <c r="D475" s="31"/>
      <c r="E475" s="38"/>
      <c r="F475" s="38"/>
      <c r="G475" s="38"/>
      <c r="H475" s="38"/>
      <c r="I475" s="38"/>
      <c r="J475" s="56"/>
      <c r="K475" s="40"/>
      <c r="L475" s="40"/>
      <c r="M475" s="23"/>
      <c r="N475" s="23"/>
      <c r="O475" s="41"/>
      <c r="P475" s="41"/>
      <c r="Q475" s="41"/>
      <c r="R475" s="25"/>
      <c r="S475" s="23"/>
      <c r="T475" s="23"/>
      <c r="U475" s="23"/>
      <c r="V475" s="23"/>
      <c r="W475" s="41"/>
      <c r="X475" s="24"/>
      <c r="Y475" s="24"/>
      <c r="Z475" s="24"/>
      <c r="AA475" s="24"/>
    </row>
    <row r="476" spans="1:27" s="44" customFormat="1" x14ac:dyDescent="0.3">
      <c r="A476" s="38"/>
      <c r="B476" s="50"/>
      <c r="C476" s="51"/>
      <c r="D476" s="31"/>
      <c r="E476" s="38"/>
      <c r="F476" s="38"/>
      <c r="G476" s="38"/>
      <c r="H476" s="38"/>
      <c r="I476" s="38"/>
      <c r="J476" s="56"/>
      <c r="K476" s="40"/>
      <c r="L476" s="40"/>
      <c r="M476" s="23"/>
      <c r="N476" s="23"/>
      <c r="O476" s="41"/>
      <c r="P476" s="41"/>
      <c r="Q476" s="41"/>
      <c r="R476" s="25"/>
      <c r="S476" s="23"/>
      <c r="T476" s="23"/>
      <c r="U476" s="23"/>
      <c r="V476" s="23"/>
      <c r="W476" s="41"/>
      <c r="X476" s="24"/>
      <c r="Y476" s="24"/>
      <c r="Z476" s="24"/>
      <c r="AA476" s="24"/>
    </row>
    <row r="477" spans="1:27" s="44" customFormat="1" x14ac:dyDescent="0.3">
      <c r="A477" s="38"/>
      <c r="B477" s="50"/>
      <c r="C477" s="51"/>
      <c r="D477" s="31"/>
      <c r="E477" s="38"/>
      <c r="F477" s="38"/>
      <c r="G477" s="38"/>
      <c r="H477" s="38"/>
      <c r="I477" s="38"/>
      <c r="J477" s="56"/>
      <c r="K477" s="40"/>
      <c r="L477" s="40"/>
      <c r="M477" s="23"/>
      <c r="N477" s="23"/>
      <c r="O477" s="41"/>
      <c r="P477" s="41"/>
      <c r="Q477" s="41"/>
      <c r="R477" s="25"/>
      <c r="S477" s="23"/>
      <c r="T477" s="23"/>
      <c r="U477" s="23"/>
      <c r="V477" s="23"/>
      <c r="W477" s="41"/>
      <c r="X477" s="24"/>
      <c r="Y477" s="24"/>
      <c r="Z477" s="24"/>
      <c r="AA477" s="24"/>
    </row>
    <row r="478" spans="1:27" s="44" customFormat="1" x14ac:dyDescent="0.3">
      <c r="A478" s="38"/>
      <c r="B478" s="50"/>
      <c r="C478" s="51"/>
      <c r="D478" s="31"/>
      <c r="E478" s="38"/>
      <c r="F478" s="38"/>
      <c r="G478" s="38"/>
      <c r="H478" s="38"/>
      <c r="I478" s="38"/>
      <c r="J478" s="56"/>
      <c r="K478" s="40"/>
      <c r="L478" s="40"/>
      <c r="M478" s="23"/>
      <c r="N478" s="23"/>
      <c r="O478" s="41"/>
      <c r="P478" s="41"/>
      <c r="Q478" s="41"/>
      <c r="R478" s="25"/>
      <c r="S478" s="23"/>
      <c r="T478" s="23"/>
      <c r="U478" s="23"/>
      <c r="V478" s="23"/>
      <c r="W478" s="41"/>
      <c r="X478" s="24"/>
      <c r="Y478" s="24"/>
      <c r="Z478" s="24"/>
      <c r="AA478" s="24"/>
    </row>
    <row r="479" spans="1:27" s="44" customFormat="1" x14ac:dyDescent="0.3">
      <c r="A479" s="38"/>
      <c r="B479" s="50"/>
      <c r="C479" s="51"/>
      <c r="D479" s="31"/>
      <c r="E479" s="38"/>
      <c r="F479" s="38"/>
      <c r="G479" s="38"/>
      <c r="H479" s="38"/>
      <c r="I479" s="38"/>
      <c r="J479" s="56"/>
      <c r="K479" s="40"/>
      <c r="L479" s="40"/>
      <c r="M479" s="23"/>
      <c r="N479" s="23"/>
      <c r="O479" s="41"/>
      <c r="P479" s="41"/>
      <c r="Q479" s="41"/>
      <c r="R479" s="25"/>
      <c r="S479" s="23"/>
      <c r="T479" s="23"/>
      <c r="U479" s="23"/>
      <c r="V479" s="23"/>
      <c r="W479" s="41"/>
      <c r="X479" s="24"/>
      <c r="Y479" s="24"/>
      <c r="Z479" s="24"/>
      <c r="AA479" s="24"/>
    </row>
    <row r="480" spans="1:27" s="44" customFormat="1" x14ac:dyDescent="0.3">
      <c r="A480" s="38"/>
      <c r="B480" s="50"/>
      <c r="C480" s="51"/>
      <c r="D480" s="31"/>
      <c r="E480" s="38"/>
      <c r="F480" s="38"/>
      <c r="G480" s="38"/>
      <c r="H480" s="38"/>
      <c r="I480" s="38"/>
      <c r="J480" s="56"/>
      <c r="K480" s="40"/>
      <c r="L480" s="40"/>
      <c r="M480" s="23"/>
      <c r="N480" s="23"/>
      <c r="O480" s="41"/>
      <c r="P480" s="41"/>
      <c r="Q480" s="41"/>
      <c r="R480" s="25"/>
      <c r="S480" s="23"/>
      <c r="T480" s="23"/>
      <c r="U480" s="23"/>
      <c r="V480" s="23"/>
      <c r="W480" s="41"/>
      <c r="X480" s="24"/>
      <c r="Y480" s="24"/>
      <c r="Z480" s="24"/>
      <c r="AA480" s="24"/>
    </row>
    <row r="481" spans="1:27" ht="26.4" customHeight="1" x14ac:dyDescent="0.3">
      <c r="C481" s="51"/>
      <c r="D481" s="31"/>
      <c r="K481" s="40"/>
      <c r="L481" s="40"/>
      <c r="M481" s="23"/>
      <c r="N481" s="23"/>
      <c r="Q481" s="41"/>
      <c r="R481" s="25"/>
      <c r="S481" s="23"/>
      <c r="T481" s="23"/>
      <c r="U481" s="23"/>
      <c r="V481" s="23"/>
    </row>
    <row r="482" spans="1:27" x14ac:dyDescent="0.3">
      <c r="C482" s="51"/>
      <c r="D482" s="31"/>
      <c r="K482" s="40"/>
      <c r="L482" s="40"/>
      <c r="M482" s="23"/>
      <c r="N482" s="23"/>
      <c r="Q482" s="41"/>
      <c r="R482" s="25"/>
      <c r="S482" s="23"/>
      <c r="T482" s="23"/>
      <c r="U482" s="23"/>
      <c r="V482" s="23"/>
    </row>
    <row r="483" spans="1:27" x14ac:dyDescent="0.3">
      <c r="C483" s="51"/>
      <c r="D483" s="31"/>
      <c r="K483" s="40"/>
      <c r="L483" s="40"/>
      <c r="M483" s="23"/>
      <c r="N483" s="23"/>
      <c r="Q483" s="41"/>
      <c r="R483" s="25"/>
      <c r="S483" s="23"/>
      <c r="T483" s="23"/>
      <c r="U483" s="23"/>
      <c r="V483" s="23"/>
    </row>
    <row r="484" spans="1:27" x14ac:dyDescent="0.3">
      <c r="C484" s="51"/>
      <c r="D484" s="31"/>
      <c r="K484" s="40"/>
      <c r="L484" s="40"/>
      <c r="M484" s="23"/>
      <c r="N484" s="23"/>
      <c r="Q484" s="41"/>
      <c r="R484" s="25"/>
      <c r="S484" s="23"/>
      <c r="T484" s="23"/>
      <c r="U484" s="23"/>
      <c r="V484" s="23"/>
    </row>
    <row r="485" spans="1:27" s="44" customFormat="1" x14ac:dyDescent="0.3">
      <c r="A485" s="38"/>
      <c r="B485" s="50"/>
      <c r="C485" s="51"/>
      <c r="D485" s="31"/>
      <c r="E485" s="38"/>
      <c r="F485" s="38"/>
      <c r="G485" s="38"/>
      <c r="H485" s="38"/>
      <c r="I485" s="38"/>
      <c r="J485" s="56"/>
      <c r="K485" s="40"/>
      <c r="L485" s="40"/>
      <c r="M485" s="23"/>
      <c r="N485" s="23"/>
      <c r="O485" s="41"/>
      <c r="P485" s="41"/>
      <c r="Q485" s="41"/>
      <c r="R485" s="25"/>
      <c r="S485" s="23"/>
      <c r="T485" s="23"/>
      <c r="U485" s="23"/>
      <c r="V485" s="23"/>
      <c r="W485" s="41"/>
      <c r="X485" s="24"/>
      <c r="Y485" s="24"/>
      <c r="Z485" s="24"/>
      <c r="AA485" s="24"/>
    </row>
    <row r="486" spans="1:27" s="44" customFormat="1" x14ac:dyDescent="0.3">
      <c r="A486" s="38"/>
      <c r="B486" s="50"/>
      <c r="C486" s="51"/>
      <c r="D486" s="31"/>
      <c r="E486" s="38"/>
      <c r="F486" s="38"/>
      <c r="G486" s="38"/>
      <c r="H486" s="38"/>
      <c r="I486" s="38"/>
      <c r="J486" s="56"/>
      <c r="K486" s="40"/>
      <c r="L486" s="40"/>
      <c r="M486" s="23"/>
      <c r="N486" s="23"/>
      <c r="O486" s="41"/>
      <c r="P486" s="41"/>
      <c r="Q486" s="41"/>
      <c r="R486" s="25"/>
      <c r="S486" s="23"/>
      <c r="T486" s="23"/>
      <c r="U486" s="23"/>
      <c r="V486" s="23"/>
      <c r="W486" s="41"/>
      <c r="X486" s="24"/>
      <c r="Y486" s="24"/>
      <c r="Z486" s="24"/>
      <c r="AA486" s="24"/>
    </row>
    <row r="487" spans="1:27" s="44" customFormat="1" x14ac:dyDescent="0.3">
      <c r="A487" s="38"/>
      <c r="B487" s="50"/>
      <c r="C487" s="51"/>
      <c r="D487" s="31"/>
      <c r="E487" s="38"/>
      <c r="F487" s="38"/>
      <c r="G487" s="38"/>
      <c r="H487" s="38"/>
      <c r="I487" s="38"/>
      <c r="J487" s="56"/>
      <c r="K487" s="40"/>
      <c r="L487" s="40"/>
      <c r="M487" s="23"/>
      <c r="N487" s="23"/>
      <c r="O487" s="41"/>
      <c r="P487" s="41"/>
      <c r="Q487" s="41"/>
      <c r="R487" s="25"/>
      <c r="S487" s="23"/>
      <c r="T487" s="23"/>
      <c r="U487" s="23"/>
      <c r="V487" s="23"/>
      <c r="W487" s="41"/>
      <c r="X487" s="24"/>
      <c r="Y487" s="24"/>
      <c r="Z487" s="24"/>
      <c r="AA487" s="24"/>
    </row>
    <row r="488" spans="1:27" s="44" customFormat="1" x14ac:dyDescent="0.3">
      <c r="A488" s="38"/>
      <c r="B488" s="50"/>
      <c r="C488" s="51"/>
      <c r="D488" s="31"/>
      <c r="E488" s="38"/>
      <c r="F488" s="38"/>
      <c r="G488" s="38"/>
      <c r="H488" s="38"/>
      <c r="I488" s="38"/>
      <c r="J488" s="56"/>
      <c r="K488" s="40"/>
      <c r="L488" s="40"/>
      <c r="M488" s="23"/>
      <c r="N488" s="23"/>
      <c r="O488" s="41"/>
      <c r="P488" s="41"/>
      <c r="Q488" s="41"/>
      <c r="R488" s="25"/>
      <c r="S488" s="23"/>
      <c r="T488" s="23"/>
      <c r="U488" s="23"/>
      <c r="V488" s="23"/>
      <c r="W488" s="41"/>
      <c r="X488" s="24"/>
      <c r="Y488" s="24"/>
      <c r="Z488" s="24"/>
      <c r="AA488" s="24"/>
    </row>
    <row r="489" spans="1:27" ht="18" customHeight="1" x14ac:dyDescent="0.3">
      <c r="C489" s="51"/>
      <c r="D489" s="31"/>
      <c r="J489" s="39"/>
      <c r="K489" s="40"/>
      <c r="L489" s="40"/>
      <c r="M489" s="23"/>
      <c r="N489" s="23"/>
      <c r="Q489" s="41"/>
      <c r="R489" s="25"/>
      <c r="S489" s="23"/>
      <c r="T489" s="23"/>
      <c r="U489" s="23"/>
      <c r="V489" s="23"/>
    </row>
    <row r="490" spans="1:27" s="44" customFormat="1" ht="13.8" x14ac:dyDescent="0.3">
      <c r="A490" s="38"/>
      <c r="B490" s="50"/>
      <c r="C490" s="51"/>
      <c r="D490" s="31"/>
      <c r="E490" s="38"/>
      <c r="F490" s="38"/>
      <c r="G490" s="38"/>
      <c r="H490" s="38"/>
      <c r="I490" s="38"/>
      <c r="J490" s="39"/>
      <c r="K490" s="57"/>
      <c r="L490" s="57"/>
      <c r="M490" s="23"/>
      <c r="N490" s="23"/>
      <c r="O490" s="24"/>
      <c r="P490" s="41"/>
      <c r="Q490" s="41"/>
      <c r="R490" s="25"/>
      <c r="S490" s="23"/>
      <c r="T490" s="23"/>
      <c r="U490" s="23"/>
      <c r="V490" s="23"/>
      <c r="W490" s="41"/>
      <c r="X490" s="58"/>
      <c r="Y490" s="59"/>
      <c r="Z490" s="24"/>
      <c r="AA490" s="24"/>
    </row>
    <row r="491" spans="1:27" s="44" customFormat="1" ht="17.399999999999999" customHeight="1" x14ac:dyDescent="0.3">
      <c r="A491" s="38"/>
      <c r="B491" s="50"/>
      <c r="C491" s="51"/>
      <c r="D491" s="31"/>
      <c r="E491" s="38"/>
      <c r="F491" s="38"/>
      <c r="G491" s="38"/>
      <c r="H491" s="38"/>
      <c r="I491" s="38"/>
      <c r="J491" s="39"/>
      <c r="K491" s="40"/>
      <c r="L491" s="40"/>
      <c r="M491" s="23"/>
      <c r="N491" s="23"/>
      <c r="O491" s="41"/>
      <c r="P491" s="41"/>
      <c r="Q491" s="41"/>
      <c r="R491" s="25"/>
      <c r="S491" s="23"/>
      <c r="T491" s="23"/>
      <c r="U491" s="23"/>
      <c r="V491" s="23"/>
      <c r="W491" s="41"/>
      <c r="X491" s="24"/>
      <c r="Y491" s="24"/>
      <c r="Z491" s="24"/>
      <c r="AA491" s="24"/>
    </row>
    <row r="492" spans="1:27" s="44" customFormat="1" ht="18.600000000000001" customHeight="1" x14ac:dyDescent="0.3">
      <c r="A492" s="38"/>
      <c r="B492" s="50"/>
      <c r="C492" s="51"/>
      <c r="D492" s="31"/>
      <c r="E492" s="38"/>
      <c r="F492" s="38"/>
      <c r="G492" s="38"/>
      <c r="H492" s="38"/>
      <c r="I492" s="38"/>
      <c r="J492" s="56"/>
      <c r="K492" s="40"/>
      <c r="L492" s="40"/>
      <c r="M492" s="23"/>
      <c r="N492" s="23"/>
      <c r="O492" s="41"/>
      <c r="P492" s="41"/>
      <c r="Q492" s="41"/>
      <c r="R492" s="25"/>
      <c r="S492" s="23"/>
      <c r="T492" s="23"/>
      <c r="U492" s="23"/>
      <c r="V492" s="23"/>
      <c r="W492" s="41"/>
      <c r="X492" s="24"/>
      <c r="Y492" s="24"/>
      <c r="Z492" s="24"/>
      <c r="AA492" s="24"/>
    </row>
    <row r="493" spans="1:27" s="44" customFormat="1" x14ac:dyDescent="0.3">
      <c r="A493" s="38"/>
      <c r="B493" s="50"/>
      <c r="C493" s="51"/>
      <c r="D493" s="31"/>
      <c r="E493" s="38"/>
      <c r="F493" s="38"/>
      <c r="G493" s="38"/>
      <c r="H493" s="38"/>
      <c r="I493" s="38"/>
      <c r="J493" s="56"/>
      <c r="K493" s="40"/>
      <c r="L493" s="40"/>
      <c r="M493" s="23"/>
      <c r="N493" s="23"/>
      <c r="O493" s="41"/>
      <c r="P493" s="41"/>
      <c r="Q493" s="41"/>
      <c r="R493" s="25"/>
      <c r="S493" s="23"/>
      <c r="T493" s="23"/>
      <c r="U493" s="23"/>
      <c r="V493" s="23"/>
      <c r="W493" s="41"/>
      <c r="X493" s="24"/>
      <c r="Y493" s="24"/>
      <c r="Z493" s="24"/>
      <c r="AA493" s="24"/>
    </row>
    <row r="494" spans="1:27" s="44" customFormat="1" x14ac:dyDescent="0.3">
      <c r="A494" s="38"/>
      <c r="B494" s="50"/>
      <c r="C494" s="51"/>
      <c r="D494" s="31"/>
      <c r="E494" s="38"/>
      <c r="F494" s="38"/>
      <c r="G494" s="38"/>
      <c r="H494" s="38"/>
      <c r="I494" s="38"/>
      <c r="J494" s="56"/>
      <c r="K494" s="40"/>
      <c r="L494" s="40"/>
      <c r="M494" s="23"/>
      <c r="N494" s="23"/>
      <c r="O494" s="41"/>
      <c r="P494" s="41"/>
      <c r="Q494" s="41"/>
      <c r="R494" s="25"/>
      <c r="S494" s="23"/>
      <c r="T494" s="23"/>
      <c r="U494" s="23"/>
      <c r="V494" s="23"/>
      <c r="W494" s="41"/>
      <c r="X494" s="24"/>
      <c r="Y494" s="24"/>
      <c r="Z494" s="24"/>
      <c r="AA494" s="24"/>
    </row>
    <row r="495" spans="1:27" s="44" customFormat="1" x14ac:dyDescent="0.3">
      <c r="A495" s="38"/>
      <c r="B495" s="50"/>
      <c r="C495" s="51"/>
      <c r="D495" s="31"/>
      <c r="E495" s="38"/>
      <c r="F495" s="38"/>
      <c r="G495" s="38"/>
      <c r="H495" s="38"/>
      <c r="I495" s="38"/>
      <c r="J495" s="56"/>
      <c r="K495" s="40"/>
      <c r="L495" s="40"/>
      <c r="M495" s="23"/>
      <c r="N495" s="23"/>
      <c r="O495" s="41"/>
      <c r="P495" s="41"/>
      <c r="Q495" s="41"/>
      <c r="R495" s="25"/>
      <c r="S495" s="23"/>
      <c r="T495" s="23"/>
      <c r="U495" s="23"/>
      <c r="V495" s="23"/>
      <c r="W495" s="41"/>
      <c r="X495" s="24"/>
      <c r="Y495" s="24"/>
      <c r="Z495" s="24"/>
      <c r="AA495" s="24"/>
    </row>
    <row r="496" spans="1:27" x14ac:dyDescent="0.3">
      <c r="C496" s="51"/>
      <c r="D496" s="31"/>
      <c r="K496" s="40"/>
      <c r="L496" s="40"/>
      <c r="M496" s="23"/>
      <c r="N496" s="23"/>
      <c r="Q496" s="41"/>
      <c r="R496" s="25"/>
      <c r="S496" s="23"/>
      <c r="T496" s="23"/>
      <c r="U496" s="23"/>
      <c r="V496" s="23"/>
    </row>
    <row r="497" spans="1:27" x14ac:dyDescent="0.3">
      <c r="C497" s="51"/>
      <c r="D497" s="31"/>
      <c r="K497" s="40"/>
      <c r="L497" s="40"/>
      <c r="M497" s="23"/>
      <c r="N497" s="23"/>
      <c r="Q497" s="41"/>
      <c r="R497" s="25"/>
      <c r="S497" s="23"/>
      <c r="T497" s="23"/>
      <c r="U497" s="23"/>
      <c r="V497" s="23"/>
    </row>
    <row r="498" spans="1:27" x14ac:dyDescent="0.3">
      <c r="C498" s="51"/>
      <c r="D498" s="31"/>
      <c r="K498" s="40"/>
      <c r="L498" s="40"/>
      <c r="M498" s="23"/>
      <c r="N498" s="23"/>
      <c r="Q498" s="41"/>
      <c r="R498" s="25"/>
      <c r="S498" s="23"/>
      <c r="T498" s="23"/>
      <c r="U498" s="23"/>
      <c r="V498" s="23"/>
    </row>
    <row r="499" spans="1:27" x14ac:dyDescent="0.3">
      <c r="C499" s="51"/>
      <c r="D499" s="31"/>
      <c r="K499" s="40"/>
      <c r="L499" s="40"/>
      <c r="M499" s="23"/>
      <c r="N499" s="23"/>
      <c r="Q499" s="41"/>
      <c r="R499" s="25"/>
      <c r="S499" s="23"/>
      <c r="T499" s="23"/>
      <c r="U499" s="23"/>
      <c r="V499" s="23"/>
    </row>
    <row r="500" spans="1:27" x14ac:dyDescent="0.3">
      <c r="C500" s="51"/>
      <c r="D500" s="31"/>
      <c r="K500" s="40"/>
      <c r="L500" s="40"/>
      <c r="M500" s="23"/>
      <c r="N500" s="23"/>
      <c r="Q500" s="41"/>
      <c r="R500" s="25"/>
      <c r="S500" s="23"/>
      <c r="T500" s="23"/>
      <c r="U500" s="23"/>
      <c r="V500" s="23"/>
    </row>
    <row r="501" spans="1:27" x14ac:dyDescent="0.3">
      <c r="C501" s="51"/>
      <c r="D501" s="31"/>
      <c r="K501" s="40"/>
      <c r="L501" s="40"/>
      <c r="M501" s="23"/>
      <c r="N501" s="23"/>
      <c r="Q501" s="41"/>
      <c r="R501" s="25"/>
      <c r="S501" s="23"/>
      <c r="T501" s="23"/>
      <c r="U501" s="23"/>
      <c r="V501" s="23"/>
    </row>
    <row r="502" spans="1:27" x14ac:dyDescent="0.3">
      <c r="C502" s="51"/>
      <c r="D502" s="31"/>
      <c r="K502" s="40"/>
      <c r="L502" s="40"/>
      <c r="M502" s="23"/>
      <c r="N502" s="23"/>
      <c r="Q502" s="41"/>
      <c r="R502" s="25"/>
      <c r="S502" s="23"/>
      <c r="T502" s="23"/>
      <c r="U502" s="23"/>
      <c r="V502" s="23"/>
    </row>
    <row r="503" spans="1:27" x14ac:dyDescent="0.3">
      <c r="C503" s="51"/>
      <c r="D503" s="31"/>
      <c r="K503" s="40"/>
      <c r="L503" s="40"/>
      <c r="M503" s="23"/>
      <c r="N503" s="23"/>
      <c r="Q503" s="41"/>
      <c r="R503" s="25"/>
      <c r="S503" s="23"/>
      <c r="T503" s="23"/>
      <c r="U503" s="23"/>
      <c r="V503" s="23"/>
    </row>
    <row r="504" spans="1:27" ht="18" customHeight="1" x14ac:dyDescent="0.3">
      <c r="C504" s="51"/>
      <c r="D504" s="31"/>
      <c r="I504" s="23"/>
      <c r="J504" s="39"/>
      <c r="K504" s="40"/>
      <c r="L504" s="40"/>
      <c r="M504" s="23"/>
      <c r="N504" s="23"/>
      <c r="Q504" s="41"/>
      <c r="R504" s="25"/>
      <c r="S504" s="23"/>
      <c r="T504" s="23"/>
      <c r="U504" s="23"/>
      <c r="V504" s="23"/>
    </row>
    <row r="505" spans="1:27" s="44" customFormat="1" x14ac:dyDescent="0.3">
      <c r="A505" s="38"/>
      <c r="B505" s="50"/>
      <c r="C505" s="51"/>
      <c r="D505" s="31"/>
      <c r="E505" s="38"/>
      <c r="F505" s="38"/>
      <c r="G505" s="38"/>
      <c r="H505" s="38"/>
      <c r="I505" s="38"/>
      <c r="J505" s="39"/>
      <c r="K505" s="40"/>
      <c r="L505" s="40"/>
      <c r="M505" s="23"/>
      <c r="N505" s="23"/>
      <c r="O505" s="41"/>
      <c r="P505" s="41"/>
      <c r="Q505" s="41"/>
      <c r="R505" s="25"/>
      <c r="S505" s="23"/>
      <c r="T505" s="23"/>
      <c r="U505" s="23"/>
      <c r="V505" s="23"/>
      <c r="W505" s="41"/>
      <c r="X505" s="24"/>
      <c r="Y505" s="24"/>
      <c r="Z505" s="24"/>
      <c r="AA505" s="24"/>
    </row>
    <row r="506" spans="1:27" s="44" customFormat="1" x14ac:dyDescent="0.3">
      <c r="A506" s="38"/>
      <c r="B506" s="50"/>
      <c r="C506" s="51"/>
      <c r="D506" s="31"/>
      <c r="E506" s="38"/>
      <c r="F506" s="38"/>
      <c r="G506" s="38"/>
      <c r="H506" s="38"/>
      <c r="I506" s="38"/>
      <c r="J506" s="39"/>
      <c r="K506" s="40"/>
      <c r="L506" s="40"/>
      <c r="M506" s="23"/>
      <c r="N506" s="23"/>
      <c r="O506" s="41"/>
      <c r="P506" s="41"/>
      <c r="Q506" s="41"/>
      <c r="R506" s="25"/>
      <c r="S506" s="23"/>
      <c r="T506" s="23"/>
      <c r="U506" s="23"/>
      <c r="V506" s="23"/>
      <c r="W506" s="41"/>
      <c r="X506" s="24"/>
      <c r="Y506" s="24"/>
      <c r="Z506" s="24"/>
      <c r="AA506" s="24"/>
    </row>
    <row r="507" spans="1:27" s="62" customFormat="1" x14ac:dyDescent="0.3">
      <c r="A507" s="38"/>
      <c r="B507" s="50"/>
      <c r="C507" s="51"/>
      <c r="D507" s="31"/>
      <c r="E507" s="38"/>
      <c r="F507" s="38"/>
      <c r="G507" s="38"/>
      <c r="H507" s="38"/>
      <c r="I507" s="38"/>
      <c r="J507" s="39"/>
      <c r="K507" s="40"/>
      <c r="L507" s="40"/>
      <c r="M507" s="23"/>
      <c r="N507" s="23"/>
      <c r="O507" s="41"/>
      <c r="P507" s="23"/>
      <c r="Q507" s="23"/>
      <c r="R507" s="25"/>
      <c r="S507" s="23"/>
      <c r="T507" s="23"/>
      <c r="U507" s="23"/>
      <c r="V507" s="23"/>
      <c r="W507" s="41"/>
      <c r="X507" s="24"/>
      <c r="Y507" s="24"/>
      <c r="Z507" s="24"/>
      <c r="AA507" s="24"/>
    </row>
    <row r="508" spans="1:27" s="44" customFormat="1" x14ac:dyDescent="0.3">
      <c r="A508" s="38"/>
      <c r="B508" s="50"/>
      <c r="C508" s="51"/>
      <c r="D508" s="31"/>
      <c r="E508" s="38"/>
      <c r="F508" s="38"/>
      <c r="G508" s="38"/>
      <c r="H508" s="38"/>
      <c r="I508" s="38"/>
      <c r="J508" s="39"/>
      <c r="K508" s="40"/>
      <c r="L508" s="40"/>
      <c r="M508" s="23"/>
      <c r="N508" s="23"/>
      <c r="O508" s="41"/>
      <c r="P508" s="41"/>
      <c r="Q508" s="41"/>
      <c r="R508" s="25"/>
      <c r="S508" s="23"/>
      <c r="T508" s="23"/>
      <c r="U508" s="23"/>
      <c r="V508" s="23"/>
      <c r="W508" s="41"/>
      <c r="X508" s="24"/>
      <c r="Y508" s="24"/>
      <c r="Z508" s="24"/>
      <c r="AA508" s="24"/>
    </row>
    <row r="509" spans="1:27" s="44" customFormat="1" x14ac:dyDescent="0.3">
      <c r="A509" s="38"/>
      <c r="B509" s="50"/>
      <c r="C509" s="51"/>
      <c r="D509" s="31"/>
      <c r="E509" s="38"/>
      <c r="F509" s="38"/>
      <c r="G509" s="38"/>
      <c r="H509" s="38"/>
      <c r="I509" s="38"/>
      <c r="J509" s="39"/>
      <c r="K509" s="40"/>
      <c r="L509" s="40"/>
      <c r="M509" s="23"/>
      <c r="N509" s="23"/>
      <c r="O509" s="41"/>
      <c r="P509" s="41"/>
      <c r="Q509" s="41"/>
      <c r="R509" s="25"/>
      <c r="S509" s="23"/>
      <c r="T509" s="23"/>
      <c r="U509" s="23"/>
      <c r="V509" s="23"/>
      <c r="W509" s="41"/>
      <c r="X509" s="24"/>
      <c r="Y509" s="24"/>
      <c r="Z509" s="24"/>
      <c r="AA509" s="24"/>
    </row>
    <row r="510" spans="1:27" s="44" customFormat="1" x14ac:dyDescent="0.3">
      <c r="A510" s="38"/>
      <c r="B510" s="50"/>
      <c r="C510" s="51"/>
      <c r="D510" s="31"/>
      <c r="E510" s="38"/>
      <c r="F510" s="38"/>
      <c r="G510" s="38"/>
      <c r="H510" s="38"/>
      <c r="I510" s="38"/>
      <c r="J510" s="39"/>
      <c r="K510" s="40"/>
      <c r="L510" s="40"/>
      <c r="M510" s="23"/>
      <c r="N510" s="23"/>
      <c r="O510" s="41"/>
      <c r="P510" s="41"/>
      <c r="Q510" s="41"/>
      <c r="R510" s="25"/>
      <c r="S510" s="23"/>
      <c r="T510" s="23"/>
      <c r="U510" s="23"/>
      <c r="V510" s="23"/>
      <c r="W510" s="41"/>
      <c r="X510" s="24"/>
      <c r="Y510" s="24"/>
      <c r="Z510" s="24"/>
      <c r="AA510" s="24"/>
    </row>
    <row r="511" spans="1:27" s="44" customFormat="1" x14ac:dyDescent="0.3">
      <c r="A511" s="38"/>
      <c r="B511" s="50"/>
      <c r="C511" s="51"/>
      <c r="D511" s="31"/>
      <c r="E511" s="38"/>
      <c r="F511" s="38"/>
      <c r="G511" s="38"/>
      <c r="H511" s="38"/>
      <c r="I511" s="38"/>
      <c r="J511" s="39"/>
      <c r="K511" s="40"/>
      <c r="L511" s="40"/>
      <c r="M511" s="23"/>
      <c r="N511" s="23"/>
      <c r="O511" s="41"/>
      <c r="P511" s="41"/>
      <c r="Q511" s="41"/>
      <c r="R511" s="25"/>
      <c r="S511" s="23"/>
      <c r="T511" s="23"/>
      <c r="U511" s="23"/>
      <c r="V511" s="23"/>
      <c r="W511" s="41"/>
      <c r="X511" s="24"/>
      <c r="Y511" s="24"/>
      <c r="Z511" s="24"/>
      <c r="AA511" s="24"/>
    </row>
    <row r="512" spans="1:27" s="44" customFormat="1" x14ac:dyDescent="0.3">
      <c r="A512" s="38"/>
      <c r="B512" s="50"/>
      <c r="C512" s="51"/>
      <c r="D512" s="31"/>
      <c r="E512" s="38"/>
      <c r="F512" s="38"/>
      <c r="G512" s="38"/>
      <c r="H512" s="38"/>
      <c r="I512" s="38"/>
      <c r="J512" s="39"/>
      <c r="K512" s="40"/>
      <c r="L512" s="40"/>
      <c r="M512" s="23"/>
      <c r="N512" s="23"/>
      <c r="O512" s="41"/>
      <c r="P512" s="41"/>
      <c r="Q512" s="41"/>
      <c r="R512" s="25"/>
      <c r="S512" s="23"/>
      <c r="T512" s="23"/>
      <c r="U512" s="23"/>
      <c r="V512" s="23"/>
      <c r="W512" s="41"/>
      <c r="X512" s="24"/>
      <c r="Y512" s="24"/>
      <c r="Z512" s="24"/>
      <c r="AA512" s="24"/>
    </row>
    <row r="513" spans="1:27" s="44" customFormat="1" x14ac:dyDescent="0.3">
      <c r="A513" s="38"/>
      <c r="B513" s="50"/>
      <c r="C513" s="51"/>
      <c r="D513" s="31"/>
      <c r="E513" s="38"/>
      <c r="F513" s="38"/>
      <c r="G513" s="38"/>
      <c r="H513" s="38"/>
      <c r="I513" s="38"/>
      <c r="J513" s="39"/>
      <c r="K513" s="40"/>
      <c r="L513" s="40"/>
      <c r="M513" s="23"/>
      <c r="N513" s="23"/>
      <c r="O513" s="41"/>
      <c r="P513" s="41"/>
      <c r="Q513" s="41"/>
      <c r="R513" s="25"/>
      <c r="S513" s="23"/>
      <c r="T513" s="23"/>
      <c r="U513" s="23"/>
      <c r="V513" s="23"/>
      <c r="W513" s="41"/>
      <c r="X513" s="24"/>
      <c r="Y513" s="24"/>
      <c r="Z513" s="24"/>
      <c r="AA513" s="24"/>
    </row>
    <row r="514" spans="1:27" s="44" customFormat="1" x14ac:dyDescent="0.3">
      <c r="A514" s="38"/>
      <c r="B514" s="50"/>
      <c r="C514" s="51"/>
      <c r="D514" s="31"/>
      <c r="E514" s="38"/>
      <c r="F514" s="38"/>
      <c r="G514" s="38"/>
      <c r="H514" s="38"/>
      <c r="I514" s="38"/>
      <c r="J514" s="39"/>
      <c r="K514" s="40"/>
      <c r="L514" s="40"/>
      <c r="M514" s="23"/>
      <c r="N514" s="23"/>
      <c r="O514" s="41"/>
      <c r="P514" s="23"/>
      <c r="Q514" s="23"/>
      <c r="R514" s="25"/>
      <c r="S514" s="23"/>
      <c r="T514" s="23"/>
      <c r="U514" s="23"/>
      <c r="V514" s="23"/>
      <c r="W514" s="41"/>
      <c r="X514" s="24"/>
      <c r="Y514" s="24"/>
      <c r="Z514" s="24"/>
      <c r="AA514" s="24"/>
    </row>
    <row r="515" spans="1:27" s="44" customFormat="1" x14ac:dyDescent="0.3">
      <c r="A515" s="38"/>
      <c r="B515" s="50"/>
      <c r="C515" s="51"/>
      <c r="D515" s="31"/>
      <c r="E515" s="38"/>
      <c r="F515" s="38"/>
      <c r="G515" s="38"/>
      <c r="H515" s="38"/>
      <c r="I515" s="38"/>
      <c r="J515" s="39"/>
      <c r="K515" s="40"/>
      <c r="L515" s="40"/>
      <c r="M515" s="23"/>
      <c r="N515" s="23"/>
      <c r="O515" s="41"/>
      <c r="P515" s="23"/>
      <c r="Q515" s="23"/>
      <c r="R515" s="25"/>
      <c r="S515" s="23"/>
      <c r="T515" s="23"/>
      <c r="U515" s="23"/>
      <c r="V515" s="23"/>
      <c r="W515" s="41"/>
      <c r="X515" s="24"/>
      <c r="Y515" s="24"/>
      <c r="Z515" s="24"/>
      <c r="AA515" s="24"/>
    </row>
    <row r="516" spans="1:27" s="44" customFormat="1" x14ac:dyDescent="0.3">
      <c r="A516" s="38"/>
      <c r="B516" s="50"/>
      <c r="C516" s="51"/>
      <c r="D516" s="31"/>
      <c r="E516" s="38"/>
      <c r="F516" s="38"/>
      <c r="G516" s="38"/>
      <c r="H516" s="38"/>
      <c r="I516" s="38"/>
      <c r="J516" s="39"/>
      <c r="K516" s="40"/>
      <c r="L516" s="40"/>
      <c r="M516" s="23"/>
      <c r="N516" s="23"/>
      <c r="O516" s="41"/>
      <c r="P516" s="23"/>
      <c r="Q516" s="23"/>
      <c r="R516" s="25"/>
      <c r="S516" s="23"/>
      <c r="T516" s="23"/>
      <c r="U516" s="23"/>
      <c r="V516" s="23"/>
      <c r="W516" s="41"/>
      <c r="X516" s="24"/>
      <c r="Y516" s="24"/>
      <c r="Z516" s="24"/>
      <c r="AA516" s="24"/>
    </row>
    <row r="517" spans="1:27" s="44" customFormat="1" x14ac:dyDescent="0.3">
      <c r="A517" s="38"/>
      <c r="B517" s="50"/>
      <c r="C517" s="51"/>
      <c r="D517" s="31"/>
      <c r="E517" s="38"/>
      <c r="F517" s="38"/>
      <c r="G517" s="38"/>
      <c r="H517" s="38"/>
      <c r="I517" s="38"/>
      <c r="J517" s="39"/>
      <c r="K517" s="40"/>
      <c r="L517" s="40"/>
      <c r="M517" s="23"/>
      <c r="N517" s="23"/>
      <c r="O517" s="41"/>
      <c r="P517" s="41"/>
      <c r="Q517" s="41"/>
      <c r="R517" s="25"/>
      <c r="S517" s="23"/>
      <c r="T517" s="23"/>
      <c r="U517" s="23"/>
      <c r="V517" s="23"/>
      <c r="W517" s="41"/>
      <c r="X517" s="24"/>
      <c r="Y517" s="24"/>
      <c r="Z517" s="24"/>
      <c r="AA517" s="24"/>
    </row>
    <row r="518" spans="1:27" s="44" customFormat="1" x14ac:dyDescent="0.3">
      <c r="A518" s="38"/>
      <c r="B518" s="50"/>
      <c r="C518" s="51"/>
      <c r="D518" s="31"/>
      <c r="E518" s="38"/>
      <c r="F518" s="38"/>
      <c r="G518" s="38"/>
      <c r="H518" s="38"/>
      <c r="I518" s="38"/>
      <c r="J518" s="39"/>
      <c r="K518" s="40"/>
      <c r="L518" s="40"/>
      <c r="M518" s="23"/>
      <c r="N518" s="23"/>
      <c r="O518" s="41"/>
      <c r="P518" s="41"/>
      <c r="Q518" s="41"/>
      <c r="R518" s="25"/>
      <c r="S518" s="23"/>
      <c r="T518" s="23"/>
      <c r="U518" s="23"/>
      <c r="V518" s="23"/>
      <c r="W518" s="41"/>
      <c r="X518" s="24"/>
      <c r="Y518" s="24"/>
      <c r="Z518" s="24"/>
      <c r="AA518" s="24"/>
    </row>
    <row r="519" spans="1:27" s="44" customFormat="1" x14ac:dyDescent="0.3">
      <c r="A519" s="38"/>
      <c r="B519" s="50"/>
      <c r="C519" s="51"/>
      <c r="D519" s="31"/>
      <c r="E519" s="38"/>
      <c r="F519" s="38"/>
      <c r="G519" s="38"/>
      <c r="H519" s="38"/>
      <c r="I519" s="38"/>
      <c r="J519" s="39"/>
      <c r="K519" s="40"/>
      <c r="L519" s="40"/>
      <c r="M519" s="23"/>
      <c r="N519" s="23"/>
      <c r="O519" s="41"/>
      <c r="P519" s="41"/>
      <c r="Q519" s="41"/>
      <c r="R519" s="25"/>
      <c r="S519" s="23"/>
      <c r="T519" s="23"/>
      <c r="U519" s="23"/>
      <c r="V519" s="23"/>
      <c r="W519" s="41"/>
      <c r="X519" s="24"/>
      <c r="Y519" s="24"/>
      <c r="Z519" s="24"/>
      <c r="AA519" s="24"/>
    </row>
    <row r="520" spans="1:27" s="44" customFormat="1" x14ac:dyDescent="0.3">
      <c r="A520" s="38"/>
      <c r="B520" s="50"/>
      <c r="C520" s="51"/>
      <c r="D520" s="31"/>
      <c r="E520" s="38"/>
      <c r="F520" s="38"/>
      <c r="G520" s="38"/>
      <c r="H520" s="38"/>
      <c r="I520" s="38"/>
      <c r="J520" s="39"/>
      <c r="K520" s="40"/>
      <c r="L520" s="40"/>
      <c r="M520" s="23"/>
      <c r="N520" s="23"/>
      <c r="O520" s="41"/>
      <c r="P520" s="41"/>
      <c r="Q520" s="41"/>
      <c r="R520" s="25"/>
      <c r="S520" s="23"/>
      <c r="T520" s="23"/>
      <c r="U520" s="23"/>
      <c r="V520" s="23"/>
      <c r="W520" s="41"/>
      <c r="X520" s="24"/>
      <c r="Y520" s="24"/>
      <c r="Z520" s="24"/>
      <c r="AA520" s="24"/>
    </row>
    <row r="521" spans="1:27" s="44" customFormat="1" x14ac:dyDescent="0.3">
      <c r="A521" s="38"/>
      <c r="B521" s="50"/>
      <c r="C521" s="51"/>
      <c r="D521" s="31"/>
      <c r="E521" s="38"/>
      <c r="F521" s="38"/>
      <c r="G521" s="38"/>
      <c r="H521" s="38"/>
      <c r="I521" s="38"/>
      <c r="J521" s="39"/>
      <c r="K521" s="40"/>
      <c r="L521" s="40"/>
      <c r="M521" s="23"/>
      <c r="N521" s="23"/>
      <c r="O521" s="41"/>
      <c r="P521" s="41"/>
      <c r="Q521" s="41"/>
      <c r="R521" s="25"/>
      <c r="S521" s="23"/>
      <c r="T521" s="23"/>
      <c r="U521" s="23"/>
      <c r="V521" s="23"/>
      <c r="W521" s="41"/>
      <c r="X521" s="24"/>
      <c r="Y521" s="24"/>
      <c r="Z521" s="24"/>
      <c r="AA521" s="24"/>
    </row>
    <row r="522" spans="1:27" s="44" customFormat="1" x14ac:dyDescent="0.3">
      <c r="A522" s="38"/>
      <c r="B522" s="50"/>
      <c r="C522" s="51"/>
      <c r="D522" s="31"/>
      <c r="E522" s="38"/>
      <c r="F522" s="38"/>
      <c r="G522" s="38"/>
      <c r="H522" s="38"/>
      <c r="I522" s="38"/>
      <c r="J522" s="39"/>
      <c r="K522" s="40"/>
      <c r="L522" s="40"/>
      <c r="M522" s="23"/>
      <c r="N522" s="23"/>
      <c r="O522" s="41"/>
      <c r="P522" s="41"/>
      <c r="Q522" s="41"/>
      <c r="R522" s="25"/>
      <c r="S522" s="23"/>
      <c r="T522" s="23"/>
      <c r="U522" s="23"/>
      <c r="V522" s="23"/>
      <c r="W522" s="41"/>
      <c r="X522" s="24"/>
      <c r="Y522" s="24"/>
      <c r="Z522" s="24"/>
      <c r="AA522" s="24"/>
    </row>
    <row r="523" spans="1:27" s="44" customFormat="1" x14ac:dyDescent="0.3">
      <c r="A523" s="38"/>
      <c r="B523" s="50"/>
      <c r="C523" s="51"/>
      <c r="D523" s="31"/>
      <c r="E523" s="38"/>
      <c r="F523" s="38"/>
      <c r="G523" s="38"/>
      <c r="H523" s="38"/>
      <c r="I523" s="38"/>
      <c r="J523" s="39"/>
      <c r="K523" s="40"/>
      <c r="L523" s="40"/>
      <c r="M523" s="23"/>
      <c r="N523" s="23"/>
      <c r="O523" s="41"/>
      <c r="P523" s="41"/>
      <c r="Q523" s="41"/>
      <c r="R523" s="25"/>
      <c r="S523" s="23"/>
      <c r="T523" s="23"/>
      <c r="U523" s="23"/>
      <c r="V523" s="23"/>
      <c r="W523" s="41"/>
      <c r="X523" s="24"/>
      <c r="Y523" s="24"/>
      <c r="Z523" s="24"/>
      <c r="AA523" s="24"/>
    </row>
    <row r="524" spans="1:27" s="44" customFormat="1" x14ac:dyDescent="0.3">
      <c r="A524" s="38"/>
      <c r="B524" s="50"/>
      <c r="C524" s="51"/>
      <c r="D524" s="31"/>
      <c r="E524" s="38"/>
      <c r="F524" s="38"/>
      <c r="G524" s="38"/>
      <c r="H524" s="38"/>
      <c r="I524" s="38"/>
      <c r="J524" s="39"/>
      <c r="K524" s="40"/>
      <c r="L524" s="40"/>
      <c r="M524" s="23"/>
      <c r="N524" s="23"/>
      <c r="O524" s="41"/>
      <c r="P524" s="41"/>
      <c r="Q524" s="41"/>
      <c r="R524" s="25"/>
      <c r="S524" s="23"/>
      <c r="T524" s="23"/>
      <c r="U524" s="23"/>
      <c r="V524" s="23"/>
      <c r="W524" s="41"/>
      <c r="X524" s="24"/>
      <c r="Y524" s="24"/>
      <c r="Z524" s="24"/>
      <c r="AA524" s="24"/>
    </row>
    <row r="525" spans="1:27" s="44" customFormat="1" x14ac:dyDescent="0.3">
      <c r="A525" s="38"/>
      <c r="B525" s="50"/>
      <c r="C525" s="51"/>
      <c r="D525" s="31"/>
      <c r="E525" s="38"/>
      <c r="F525" s="38"/>
      <c r="G525" s="38"/>
      <c r="H525" s="38"/>
      <c r="I525" s="38"/>
      <c r="J525" s="39"/>
      <c r="K525" s="40"/>
      <c r="L525" s="40"/>
      <c r="M525" s="23"/>
      <c r="N525" s="23"/>
      <c r="O525" s="41"/>
      <c r="P525" s="41"/>
      <c r="Q525" s="41"/>
      <c r="R525" s="25"/>
      <c r="S525" s="23"/>
      <c r="T525" s="23"/>
      <c r="U525" s="23"/>
      <c r="V525" s="23"/>
      <c r="W525" s="41"/>
      <c r="X525" s="24"/>
      <c r="Y525" s="24"/>
      <c r="Z525" s="24"/>
      <c r="AA525" s="24"/>
    </row>
    <row r="526" spans="1:27" s="44" customFormat="1" x14ac:dyDescent="0.3">
      <c r="A526" s="38"/>
      <c r="B526" s="50"/>
      <c r="C526" s="51"/>
      <c r="D526" s="31"/>
      <c r="E526" s="38"/>
      <c r="F526" s="38"/>
      <c r="G526" s="38"/>
      <c r="H526" s="38"/>
      <c r="I526" s="38"/>
      <c r="J526" s="39"/>
      <c r="K526" s="40"/>
      <c r="L526" s="40"/>
      <c r="M526" s="23"/>
      <c r="N526" s="23"/>
      <c r="O526" s="41"/>
      <c r="P526" s="41"/>
      <c r="Q526" s="41"/>
      <c r="R526" s="25"/>
      <c r="S526" s="23"/>
      <c r="T526" s="23"/>
      <c r="U526" s="23"/>
      <c r="V526" s="23"/>
      <c r="W526" s="41"/>
      <c r="X526" s="24"/>
      <c r="Y526" s="24"/>
      <c r="Z526" s="24"/>
      <c r="AA526" s="24"/>
    </row>
    <row r="527" spans="1:27" s="44" customFormat="1" x14ac:dyDescent="0.3">
      <c r="A527" s="38"/>
      <c r="B527" s="50"/>
      <c r="C527" s="51"/>
      <c r="D527" s="31"/>
      <c r="E527" s="38"/>
      <c r="F527" s="38"/>
      <c r="G527" s="38"/>
      <c r="H527" s="38"/>
      <c r="I527" s="38"/>
      <c r="J527" s="39"/>
      <c r="K527" s="40"/>
      <c r="L527" s="40"/>
      <c r="M527" s="23"/>
      <c r="N527" s="23"/>
      <c r="O527" s="41"/>
      <c r="P527" s="41"/>
      <c r="Q527" s="41"/>
      <c r="R527" s="25"/>
      <c r="S527" s="23"/>
      <c r="T527" s="23"/>
      <c r="U527" s="23"/>
      <c r="V527" s="23"/>
      <c r="W527" s="41"/>
      <c r="X527" s="24"/>
      <c r="Y527" s="24"/>
      <c r="Z527" s="24"/>
      <c r="AA527" s="24"/>
    </row>
    <row r="528" spans="1:27" s="44" customFormat="1" x14ac:dyDescent="0.3">
      <c r="A528" s="38"/>
      <c r="B528" s="50"/>
      <c r="C528" s="51"/>
      <c r="D528" s="31"/>
      <c r="E528" s="38"/>
      <c r="F528" s="38"/>
      <c r="G528" s="38"/>
      <c r="H528" s="38"/>
      <c r="I528" s="38"/>
      <c r="J528" s="39"/>
      <c r="K528" s="40"/>
      <c r="L528" s="40"/>
      <c r="M528" s="23"/>
      <c r="N528" s="23"/>
      <c r="O528" s="41"/>
      <c r="P528" s="41"/>
      <c r="Q528" s="41"/>
      <c r="R528" s="25"/>
      <c r="S528" s="23"/>
      <c r="T528" s="23"/>
      <c r="U528" s="23"/>
      <c r="V528" s="23"/>
      <c r="W528" s="41"/>
      <c r="X528" s="24"/>
      <c r="Y528" s="24"/>
      <c r="Z528" s="24"/>
      <c r="AA528" s="24"/>
    </row>
    <row r="529" spans="1:27" s="62" customFormat="1" x14ac:dyDescent="0.3">
      <c r="A529" s="38"/>
      <c r="B529" s="50"/>
      <c r="C529" s="51"/>
      <c r="D529" s="31"/>
      <c r="E529" s="38"/>
      <c r="F529" s="38"/>
      <c r="G529" s="38"/>
      <c r="H529" s="38"/>
      <c r="I529" s="38"/>
      <c r="J529" s="39"/>
      <c r="K529" s="40"/>
      <c r="L529" s="40"/>
      <c r="M529" s="23"/>
      <c r="N529" s="23"/>
      <c r="O529" s="41"/>
      <c r="P529" s="23"/>
      <c r="Q529" s="23"/>
      <c r="R529" s="25"/>
      <c r="S529" s="23"/>
      <c r="T529" s="23"/>
      <c r="U529" s="23"/>
      <c r="V529" s="23"/>
      <c r="W529" s="41"/>
      <c r="X529" s="24"/>
      <c r="Y529" s="24"/>
      <c r="Z529" s="24"/>
      <c r="AA529" s="24"/>
    </row>
    <row r="530" spans="1:27" s="44" customFormat="1" x14ac:dyDescent="0.3">
      <c r="A530" s="38"/>
      <c r="B530" s="50"/>
      <c r="C530" s="51"/>
      <c r="D530" s="31"/>
      <c r="E530" s="38"/>
      <c r="F530" s="38"/>
      <c r="G530" s="38"/>
      <c r="H530" s="38"/>
      <c r="I530" s="38"/>
      <c r="J530" s="39"/>
      <c r="K530" s="40"/>
      <c r="L530" s="40"/>
      <c r="M530" s="23"/>
      <c r="N530" s="23"/>
      <c r="O530" s="41"/>
      <c r="P530" s="23"/>
      <c r="Q530" s="23"/>
      <c r="R530" s="25"/>
      <c r="S530" s="23"/>
      <c r="T530" s="23"/>
      <c r="U530" s="23"/>
      <c r="V530" s="23"/>
      <c r="W530" s="41"/>
      <c r="X530" s="24"/>
      <c r="Y530" s="24"/>
      <c r="Z530" s="24"/>
      <c r="AA530" s="24"/>
    </row>
    <row r="531" spans="1:27" s="44" customFormat="1" x14ac:dyDescent="0.3">
      <c r="A531" s="38"/>
      <c r="B531" s="50"/>
      <c r="C531" s="51"/>
      <c r="D531" s="31"/>
      <c r="E531" s="38"/>
      <c r="F531" s="38"/>
      <c r="G531" s="38"/>
      <c r="H531" s="38"/>
      <c r="I531" s="38"/>
      <c r="J531" s="39"/>
      <c r="K531" s="40"/>
      <c r="L531" s="40"/>
      <c r="M531" s="23"/>
      <c r="N531" s="23"/>
      <c r="O531" s="41"/>
      <c r="P531" s="23"/>
      <c r="Q531" s="23"/>
      <c r="R531" s="25"/>
      <c r="S531" s="23"/>
      <c r="T531" s="23"/>
      <c r="U531" s="23"/>
      <c r="V531" s="23"/>
      <c r="W531" s="41"/>
      <c r="X531" s="24"/>
      <c r="Y531" s="24"/>
      <c r="Z531" s="24"/>
      <c r="AA531" s="24"/>
    </row>
    <row r="532" spans="1:27" s="44" customFormat="1" x14ac:dyDescent="0.3">
      <c r="A532" s="38"/>
      <c r="B532" s="50"/>
      <c r="C532" s="51"/>
      <c r="D532" s="31"/>
      <c r="E532" s="38"/>
      <c r="F532" s="38"/>
      <c r="G532" s="38"/>
      <c r="H532" s="38"/>
      <c r="I532" s="38"/>
      <c r="J532" s="39"/>
      <c r="K532" s="40"/>
      <c r="L532" s="40"/>
      <c r="M532" s="23"/>
      <c r="N532" s="23"/>
      <c r="O532" s="41"/>
      <c r="P532" s="23"/>
      <c r="Q532" s="23"/>
      <c r="R532" s="25"/>
      <c r="S532" s="23"/>
      <c r="T532" s="23"/>
      <c r="U532" s="23"/>
      <c r="V532" s="23"/>
      <c r="W532" s="41"/>
      <c r="X532" s="24"/>
      <c r="Y532" s="24"/>
      <c r="Z532" s="24"/>
      <c r="AA532" s="24"/>
    </row>
    <row r="533" spans="1:27" s="44" customFormat="1" x14ac:dyDescent="0.3">
      <c r="A533" s="38"/>
      <c r="B533" s="50"/>
      <c r="C533" s="51"/>
      <c r="D533" s="31"/>
      <c r="E533" s="38"/>
      <c r="F533" s="38"/>
      <c r="G533" s="38"/>
      <c r="H533" s="38"/>
      <c r="I533" s="38"/>
      <c r="J533" s="39"/>
      <c r="K533" s="40"/>
      <c r="L533" s="40"/>
      <c r="M533" s="23"/>
      <c r="N533" s="23"/>
      <c r="O533" s="41"/>
      <c r="P533" s="23"/>
      <c r="Q533" s="23"/>
      <c r="R533" s="25"/>
      <c r="S533" s="23"/>
      <c r="T533" s="23"/>
      <c r="U533" s="23"/>
      <c r="V533" s="23"/>
      <c r="W533" s="41"/>
      <c r="X533" s="24"/>
      <c r="Y533" s="24"/>
      <c r="Z533" s="24"/>
      <c r="AA533" s="24"/>
    </row>
    <row r="534" spans="1:27" s="44" customFormat="1" x14ac:dyDescent="0.3">
      <c r="A534" s="38"/>
      <c r="B534" s="50"/>
      <c r="C534" s="51"/>
      <c r="D534" s="31"/>
      <c r="E534" s="38"/>
      <c r="F534" s="38"/>
      <c r="G534" s="38"/>
      <c r="H534" s="38"/>
      <c r="I534" s="38"/>
      <c r="J534" s="39"/>
      <c r="K534" s="40"/>
      <c r="L534" s="40"/>
      <c r="M534" s="23"/>
      <c r="N534" s="23"/>
      <c r="O534" s="41"/>
      <c r="P534" s="41"/>
      <c r="Q534" s="41"/>
      <c r="R534" s="25"/>
      <c r="S534" s="23"/>
      <c r="T534" s="23"/>
      <c r="U534" s="23"/>
      <c r="V534" s="23"/>
      <c r="W534" s="41"/>
      <c r="X534" s="24"/>
      <c r="Y534" s="24"/>
      <c r="Z534" s="24"/>
      <c r="AA534" s="24"/>
    </row>
    <row r="535" spans="1:27" s="62" customFormat="1" x14ac:dyDescent="0.3">
      <c r="A535" s="38"/>
      <c r="B535" s="50"/>
      <c r="C535" s="51"/>
      <c r="D535" s="31"/>
      <c r="E535" s="38"/>
      <c r="F535" s="38"/>
      <c r="G535" s="38"/>
      <c r="H535" s="38"/>
      <c r="I535" s="38"/>
      <c r="J535" s="39"/>
      <c r="K535" s="40"/>
      <c r="L535" s="40"/>
      <c r="M535" s="23"/>
      <c r="N535" s="23"/>
      <c r="O535" s="41"/>
      <c r="P535" s="23"/>
      <c r="Q535" s="23"/>
      <c r="R535" s="25"/>
      <c r="S535" s="23"/>
      <c r="T535" s="23"/>
      <c r="U535" s="23"/>
      <c r="V535" s="23"/>
      <c r="W535" s="41"/>
      <c r="X535" s="24"/>
      <c r="Y535" s="24"/>
      <c r="Z535" s="24"/>
      <c r="AA535" s="24"/>
    </row>
    <row r="536" spans="1:27" s="44" customFormat="1" x14ac:dyDescent="0.3">
      <c r="A536" s="38"/>
      <c r="B536" s="50"/>
      <c r="C536" s="51"/>
      <c r="D536" s="31"/>
      <c r="E536" s="38"/>
      <c r="F536" s="38"/>
      <c r="G536" s="38"/>
      <c r="H536" s="38"/>
      <c r="I536" s="38"/>
      <c r="J536" s="39"/>
      <c r="K536" s="40"/>
      <c r="L536" s="40"/>
      <c r="M536" s="23"/>
      <c r="N536" s="23"/>
      <c r="O536" s="41"/>
      <c r="P536" s="23"/>
      <c r="Q536" s="23"/>
      <c r="R536" s="25"/>
      <c r="S536" s="23"/>
      <c r="T536" s="23"/>
      <c r="U536" s="23"/>
      <c r="V536" s="23"/>
      <c r="W536" s="41"/>
      <c r="X536" s="24"/>
      <c r="Y536" s="24"/>
      <c r="Z536" s="24"/>
      <c r="AA536" s="24"/>
    </row>
    <row r="537" spans="1:27" s="44" customFormat="1" x14ac:dyDescent="0.3">
      <c r="A537" s="38"/>
      <c r="B537" s="50"/>
      <c r="C537" s="51"/>
      <c r="D537" s="31"/>
      <c r="E537" s="38"/>
      <c r="F537" s="38"/>
      <c r="G537" s="38"/>
      <c r="H537" s="38"/>
      <c r="I537" s="38"/>
      <c r="J537" s="39"/>
      <c r="K537" s="40"/>
      <c r="L537" s="40"/>
      <c r="M537" s="23"/>
      <c r="N537" s="23"/>
      <c r="O537" s="41"/>
      <c r="P537" s="23"/>
      <c r="Q537" s="23"/>
      <c r="R537" s="25"/>
      <c r="S537" s="23"/>
      <c r="T537" s="23"/>
      <c r="U537" s="23"/>
      <c r="V537" s="23"/>
      <c r="W537" s="41"/>
      <c r="X537" s="24"/>
      <c r="Y537" s="24"/>
      <c r="Z537" s="24"/>
      <c r="AA537" s="24"/>
    </row>
    <row r="538" spans="1:27" s="62" customFormat="1" x14ac:dyDescent="0.3">
      <c r="A538" s="38"/>
      <c r="B538" s="50"/>
      <c r="C538" s="51"/>
      <c r="D538" s="38"/>
      <c r="E538" s="38"/>
      <c r="F538" s="38"/>
      <c r="G538" s="38"/>
      <c r="H538" s="38"/>
      <c r="I538" s="38"/>
      <c r="J538" s="56"/>
      <c r="K538" s="40"/>
      <c r="L538" s="40"/>
      <c r="M538" s="23"/>
      <c r="N538" s="23"/>
      <c r="O538" s="41"/>
      <c r="P538" s="23"/>
      <c r="Q538" s="23"/>
      <c r="R538" s="25"/>
      <c r="S538" s="23"/>
      <c r="T538" s="23"/>
      <c r="U538" s="23"/>
      <c r="V538" s="23"/>
      <c r="W538" s="41"/>
      <c r="X538" s="24"/>
      <c r="Y538" s="24"/>
      <c r="Z538" s="24"/>
      <c r="AA538" s="24"/>
    </row>
    <row r="539" spans="1:27" s="44" customFormat="1" x14ac:dyDescent="0.3">
      <c r="A539" s="38"/>
      <c r="B539" s="50"/>
      <c r="C539" s="51"/>
      <c r="D539" s="38"/>
      <c r="E539" s="38"/>
      <c r="F539" s="38"/>
      <c r="G539" s="38"/>
      <c r="H539" s="38"/>
      <c r="I539" s="38"/>
      <c r="J539" s="56"/>
      <c r="K539" s="57"/>
      <c r="L539" s="57"/>
      <c r="M539" s="23"/>
      <c r="N539" s="23"/>
      <c r="O539" s="41"/>
      <c r="P539" s="41"/>
      <c r="Q539" s="41"/>
      <c r="R539" s="25"/>
      <c r="S539" s="23"/>
      <c r="T539" s="23"/>
      <c r="U539" s="23"/>
      <c r="V539" s="23"/>
      <c r="W539" s="41"/>
      <c r="X539" s="24"/>
      <c r="Y539" s="24"/>
      <c r="Z539" s="24"/>
      <c r="AA539" s="24"/>
    </row>
    <row r="540" spans="1:27" x14ac:dyDescent="0.3">
      <c r="C540" s="51"/>
      <c r="J540" s="39"/>
      <c r="K540" s="40"/>
      <c r="L540" s="40"/>
      <c r="M540" s="23"/>
      <c r="N540" s="23"/>
      <c r="P540" s="23"/>
      <c r="Q540" s="23"/>
      <c r="R540" s="25"/>
      <c r="S540" s="23"/>
      <c r="T540" s="23"/>
      <c r="U540" s="23"/>
      <c r="V540" s="23"/>
    </row>
    <row r="541" spans="1:27" s="55" customFormat="1" x14ac:dyDescent="0.3">
      <c r="A541" s="38"/>
      <c r="B541" s="50"/>
      <c r="C541" s="51"/>
      <c r="D541" s="38"/>
      <c r="E541" s="38"/>
      <c r="F541" s="38"/>
      <c r="G541" s="38"/>
      <c r="H541" s="38"/>
      <c r="I541" s="38"/>
      <c r="J541" s="39"/>
      <c r="K541" s="40"/>
      <c r="L541" s="40"/>
      <c r="M541" s="23"/>
      <c r="N541" s="23"/>
      <c r="O541" s="41"/>
      <c r="P541" s="23"/>
      <c r="Q541" s="23"/>
      <c r="R541" s="25"/>
      <c r="S541" s="23"/>
      <c r="T541" s="23"/>
      <c r="U541" s="23"/>
      <c r="V541" s="23"/>
      <c r="W541" s="41"/>
      <c r="X541" s="24"/>
      <c r="Y541" s="24"/>
      <c r="Z541" s="24"/>
      <c r="AA541" s="24"/>
    </row>
    <row r="542" spans="1:27" s="44" customFormat="1" x14ac:dyDescent="0.3">
      <c r="A542" s="38"/>
      <c r="B542" s="50"/>
      <c r="C542" s="51"/>
      <c r="D542" s="38"/>
      <c r="E542" s="38"/>
      <c r="F542" s="38"/>
      <c r="G542" s="38"/>
      <c r="H542" s="38"/>
      <c r="I542" s="38"/>
      <c r="J542" s="39"/>
      <c r="K542" s="40"/>
      <c r="L542" s="40"/>
      <c r="M542" s="23"/>
      <c r="N542" s="23"/>
      <c r="O542" s="41"/>
      <c r="P542" s="23"/>
      <c r="Q542" s="23"/>
      <c r="R542" s="25"/>
      <c r="S542" s="23"/>
      <c r="T542" s="23"/>
      <c r="U542" s="23"/>
      <c r="V542" s="23"/>
      <c r="W542" s="41"/>
      <c r="X542" s="24"/>
      <c r="Y542" s="24"/>
      <c r="Z542" s="24"/>
      <c r="AA542" s="24"/>
    </row>
    <row r="543" spans="1:27" s="44" customFormat="1" x14ac:dyDescent="0.3">
      <c r="A543" s="38"/>
      <c r="B543" s="50"/>
      <c r="C543" s="51"/>
      <c r="D543" s="38"/>
      <c r="E543" s="38"/>
      <c r="F543" s="38"/>
      <c r="G543" s="38"/>
      <c r="H543" s="38"/>
      <c r="I543" s="38"/>
      <c r="J543" s="39"/>
      <c r="K543" s="40"/>
      <c r="L543" s="40"/>
      <c r="M543" s="23"/>
      <c r="N543" s="23"/>
      <c r="O543" s="41"/>
      <c r="P543" s="23"/>
      <c r="Q543" s="23"/>
      <c r="R543" s="25"/>
      <c r="S543" s="23"/>
      <c r="T543" s="23"/>
      <c r="U543" s="23"/>
      <c r="V543" s="23"/>
      <c r="W543" s="41"/>
      <c r="X543" s="24"/>
      <c r="Y543" s="24"/>
      <c r="Z543" s="24"/>
      <c r="AA543" s="24"/>
    </row>
    <row r="544" spans="1:27" s="44" customFormat="1" x14ac:dyDescent="0.3">
      <c r="A544" s="38"/>
      <c r="B544" s="50"/>
      <c r="C544" s="51"/>
      <c r="D544" s="38"/>
      <c r="E544" s="38"/>
      <c r="F544" s="38"/>
      <c r="G544" s="38"/>
      <c r="H544" s="38"/>
      <c r="I544" s="38"/>
      <c r="J544" s="39"/>
      <c r="K544" s="40"/>
      <c r="L544" s="40"/>
      <c r="M544" s="23"/>
      <c r="N544" s="23"/>
      <c r="O544" s="41"/>
      <c r="P544" s="23"/>
      <c r="Q544" s="23"/>
      <c r="R544" s="25"/>
      <c r="S544" s="23"/>
      <c r="T544" s="23"/>
      <c r="U544" s="23"/>
      <c r="V544" s="23"/>
      <c r="W544" s="41"/>
      <c r="X544" s="24"/>
      <c r="Y544" s="24"/>
      <c r="Z544" s="24"/>
      <c r="AA544" s="24"/>
    </row>
    <row r="545" spans="1:27" s="62" customFormat="1" x14ac:dyDescent="0.3">
      <c r="A545" s="38"/>
      <c r="B545" s="50"/>
      <c r="C545" s="51"/>
      <c r="D545" s="38"/>
      <c r="E545" s="38"/>
      <c r="F545" s="38"/>
      <c r="G545" s="38"/>
      <c r="H545" s="38"/>
      <c r="I545" s="38"/>
      <c r="J545" s="39"/>
      <c r="K545" s="40"/>
      <c r="L545" s="40"/>
      <c r="M545" s="23"/>
      <c r="N545" s="23"/>
      <c r="O545" s="41"/>
      <c r="P545" s="23"/>
      <c r="Q545" s="23"/>
      <c r="R545" s="25"/>
      <c r="S545" s="23"/>
      <c r="T545" s="23"/>
      <c r="U545" s="23"/>
      <c r="V545" s="23"/>
      <c r="W545" s="41"/>
      <c r="X545" s="24"/>
      <c r="Y545" s="24"/>
      <c r="Z545" s="24"/>
      <c r="AA545" s="24"/>
    </row>
    <row r="546" spans="1:27" s="44" customFormat="1" x14ac:dyDescent="0.3">
      <c r="A546" s="38"/>
      <c r="B546" s="50"/>
      <c r="C546" s="51"/>
      <c r="D546" s="38"/>
      <c r="E546" s="38"/>
      <c r="F546" s="38"/>
      <c r="G546" s="38"/>
      <c r="H546" s="38"/>
      <c r="I546" s="38"/>
      <c r="J546" s="39"/>
      <c r="K546" s="40"/>
      <c r="L546" s="40"/>
      <c r="M546" s="23"/>
      <c r="N546" s="23"/>
      <c r="O546" s="41"/>
      <c r="P546" s="23"/>
      <c r="Q546" s="23"/>
      <c r="R546" s="25"/>
      <c r="S546" s="23"/>
      <c r="T546" s="23"/>
      <c r="U546" s="23"/>
      <c r="V546" s="23"/>
      <c r="W546" s="41"/>
      <c r="X546" s="24"/>
      <c r="Y546" s="24"/>
      <c r="Z546" s="24"/>
      <c r="AA546" s="24"/>
    </row>
    <row r="547" spans="1:27" s="44" customFormat="1" x14ac:dyDescent="0.3">
      <c r="A547" s="38"/>
      <c r="B547" s="50"/>
      <c r="C547" s="51"/>
      <c r="D547" s="38"/>
      <c r="E547" s="38"/>
      <c r="F547" s="38"/>
      <c r="G547" s="38"/>
      <c r="H547" s="38"/>
      <c r="I547" s="38"/>
      <c r="J547" s="39"/>
      <c r="K547" s="40"/>
      <c r="L547" s="40"/>
      <c r="M547" s="23"/>
      <c r="N547" s="23"/>
      <c r="O547" s="41"/>
      <c r="P547" s="23"/>
      <c r="Q547" s="23"/>
      <c r="R547" s="25"/>
      <c r="S547" s="23"/>
      <c r="T547" s="23"/>
      <c r="U547" s="23"/>
      <c r="V547" s="23"/>
      <c r="W547" s="41"/>
      <c r="X547" s="24"/>
      <c r="Y547" s="24"/>
      <c r="Z547" s="24"/>
      <c r="AA547" s="24"/>
    </row>
    <row r="548" spans="1:27" s="44" customFormat="1" x14ac:dyDescent="0.3">
      <c r="A548" s="38"/>
      <c r="B548" s="50"/>
      <c r="C548" s="51"/>
      <c r="D548" s="38"/>
      <c r="E548" s="38"/>
      <c r="F548" s="38"/>
      <c r="G548" s="38"/>
      <c r="H548" s="38"/>
      <c r="I548" s="38"/>
      <c r="J548" s="39"/>
      <c r="K548" s="40"/>
      <c r="L548" s="40"/>
      <c r="M548" s="23"/>
      <c r="N548" s="23"/>
      <c r="O548" s="41"/>
      <c r="P548" s="41"/>
      <c r="Q548" s="41"/>
      <c r="R548" s="25"/>
      <c r="S548" s="23"/>
      <c r="T548" s="23"/>
      <c r="U548" s="23"/>
      <c r="V548" s="23"/>
      <c r="W548" s="41"/>
      <c r="X548" s="24"/>
      <c r="Y548" s="24"/>
      <c r="Z548" s="24"/>
      <c r="AA548" s="24"/>
    </row>
    <row r="549" spans="1:27" s="62" customFormat="1" x14ac:dyDescent="0.3">
      <c r="A549" s="38"/>
      <c r="B549" s="50"/>
      <c r="C549" s="51"/>
      <c r="D549" s="38"/>
      <c r="E549" s="38"/>
      <c r="F549" s="38"/>
      <c r="G549" s="38"/>
      <c r="H549" s="38"/>
      <c r="I549" s="38"/>
      <c r="J549" s="39"/>
      <c r="K549" s="40"/>
      <c r="L549" s="40"/>
      <c r="M549" s="23"/>
      <c r="N549" s="23"/>
      <c r="O549" s="41"/>
      <c r="P549" s="41"/>
      <c r="Q549" s="41"/>
      <c r="R549" s="25"/>
      <c r="S549" s="23"/>
      <c r="T549" s="23"/>
      <c r="U549" s="23"/>
      <c r="V549" s="23"/>
      <c r="W549" s="41"/>
      <c r="X549" s="24"/>
      <c r="Y549" s="24"/>
      <c r="Z549" s="24"/>
      <c r="AA549" s="24"/>
    </row>
    <row r="550" spans="1:27" s="44" customFormat="1" x14ac:dyDescent="0.3">
      <c r="A550" s="38"/>
      <c r="B550" s="50"/>
      <c r="C550" s="51"/>
      <c r="D550" s="38"/>
      <c r="E550" s="38"/>
      <c r="F550" s="38"/>
      <c r="G550" s="63"/>
      <c r="H550" s="38"/>
      <c r="I550" s="38"/>
      <c r="J550" s="39"/>
      <c r="K550" s="40"/>
      <c r="L550" s="40"/>
      <c r="M550" s="23"/>
      <c r="N550" s="23"/>
      <c r="O550" s="41"/>
      <c r="P550" s="41"/>
      <c r="Q550" s="41"/>
      <c r="R550" s="25"/>
      <c r="S550" s="23"/>
      <c r="T550" s="23"/>
      <c r="U550" s="23"/>
      <c r="V550" s="23"/>
      <c r="W550" s="41"/>
      <c r="X550" s="24"/>
      <c r="Y550" s="24"/>
      <c r="Z550" s="24"/>
      <c r="AA550" s="24"/>
    </row>
    <row r="551" spans="1:27" s="44" customFormat="1" x14ac:dyDescent="0.3">
      <c r="A551" s="38"/>
      <c r="B551" s="50"/>
      <c r="C551" s="51"/>
      <c r="D551" s="38"/>
      <c r="E551" s="38"/>
      <c r="F551" s="38"/>
      <c r="G551" s="63"/>
      <c r="H551" s="38"/>
      <c r="I551" s="38"/>
      <c r="J551" s="39"/>
      <c r="K551" s="40"/>
      <c r="L551" s="40"/>
      <c r="M551" s="23"/>
      <c r="N551" s="23"/>
      <c r="O551" s="41"/>
      <c r="P551" s="41"/>
      <c r="Q551" s="41"/>
      <c r="R551" s="25"/>
      <c r="S551" s="23"/>
      <c r="T551" s="23"/>
      <c r="U551" s="23"/>
      <c r="V551" s="23"/>
      <c r="W551" s="41"/>
      <c r="X551" s="24"/>
      <c r="Y551" s="24"/>
      <c r="Z551" s="24"/>
      <c r="AA551" s="24"/>
    </row>
    <row r="552" spans="1:27" s="44" customFormat="1" x14ac:dyDescent="0.3">
      <c r="A552" s="38"/>
      <c r="B552" s="50"/>
      <c r="C552" s="51"/>
      <c r="D552" s="38"/>
      <c r="E552" s="38"/>
      <c r="F552" s="38"/>
      <c r="G552" s="63"/>
      <c r="H552" s="38"/>
      <c r="I552" s="38"/>
      <c r="J552" s="39"/>
      <c r="K552" s="40"/>
      <c r="L552" s="40"/>
      <c r="M552" s="23"/>
      <c r="N552" s="23"/>
      <c r="O552" s="41"/>
      <c r="P552" s="41"/>
      <c r="Q552" s="41"/>
      <c r="R552" s="25"/>
      <c r="S552" s="23"/>
      <c r="T552" s="23"/>
      <c r="U552" s="23"/>
      <c r="V552" s="23"/>
      <c r="W552" s="41"/>
      <c r="X552" s="24"/>
      <c r="Y552" s="24"/>
      <c r="Z552" s="24"/>
      <c r="AA552" s="24"/>
    </row>
    <row r="553" spans="1:27" s="44" customFormat="1" x14ac:dyDescent="0.3">
      <c r="A553" s="38"/>
      <c r="B553" s="50"/>
      <c r="C553" s="51"/>
      <c r="D553" s="38"/>
      <c r="E553" s="38"/>
      <c r="F553" s="38"/>
      <c r="G553" s="38"/>
      <c r="H553" s="38"/>
      <c r="I553" s="38"/>
      <c r="J553" s="39"/>
      <c r="K553" s="40"/>
      <c r="L553" s="40"/>
      <c r="M553" s="23"/>
      <c r="N553" s="23"/>
      <c r="O553" s="41"/>
      <c r="P553" s="41"/>
      <c r="Q553" s="41"/>
      <c r="R553" s="25"/>
      <c r="S553" s="23"/>
      <c r="T553" s="23"/>
      <c r="U553" s="23"/>
      <c r="V553" s="23"/>
      <c r="W553" s="41"/>
      <c r="X553" s="24"/>
      <c r="Y553" s="24"/>
      <c r="Z553" s="24"/>
      <c r="AA553" s="24"/>
    </row>
    <row r="554" spans="1:27" s="44" customFormat="1" x14ac:dyDescent="0.3">
      <c r="A554" s="38"/>
      <c r="B554" s="50"/>
      <c r="C554" s="51"/>
      <c r="D554" s="38"/>
      <c r="E554" s="38"/>
      <c r="F554" s="38"/>
      <c r="G554" s="38"/>
      <c r="H554" s="38"/>
      <c r="I554" s="38"/>
      <c r="J554" s="39"/>
      <c r="K554" s="40"/>
      <c r="L554" s="40"/>
      <c r="M554" s="23"/>
      <c r="N554" s="23"/>
      <c r="O554" s="41"/>
      <c r="P554" s="41"/>
      <c r="Q554" s="41"/>
      <c r="R554" s="25"/>
      <c r="S554" s="23"/>
      <c r="T554" s="23"/>
      <c r="U554" s="23"/>
      <c r="V554" s="23"/>
      <c r="W554" s="41"/>
      <c r="X554" s="24"/>
      <c r="Y554" s="24"/>
      <c r="Z554" s="24"/>
      <c r="AA554" s="24"/>
    </row>
    <row r="555" spans="1:27" s="44" customFormat="1" x14ac:dyDescent="0.3">
      <c r="A555" s="38"/>
      <c r="B555" s="50"/>
      <c r="C555" s="51"/>
      <c r="D555" s="38"/>
      <c r="E555" s="38"/>
      <c r="F555" s="38"/>
      <c r="G555" s="38"/>
      <c r="H555" s="38"/>
      <c r="I555" s="38"/>
      <c r="J555" s="39"/>
      <c r="K555" s="40"/>
      <c r="L555" s="40"/>
      <c r="M555" s="23"/>
      <c r="N555" s="23"/>
      <c r="O555" s="41"/>
      <c r="P555" s="41"/>
      <c r="Q555" s="41"/>
      <c r="R555" s="25"/>
      <c r="S555" s="23"/>
      <c r="T555" s="23"/>
      <c r="U555" s="23"/>
      <c r="V555" s="23"/>
      <c r="W555" s="41"/>
      <c r="X555" s="24"/>
      <c r="Y555" s="24"/>
      <c r="Z555" s="24"/>
      <c r="AA555" s="24"/>
    </row>
    <row r="556" spans="1:27" s="55" customFormat="1" x14ac:dyDescent="0.3">
      <c r="A556" s="38"/>
      <c r="B556" s="50"/>
      <c r="C556" s="51"/>
      <c r="D556" s="38"/>
      <c r="E556" s="38"/>
      <c r="F556" s="38"/>
      <c r="G556" s="23"/>
      <c r="H556" s="38"/>
      <c r="I556" s="38"/>
      <c r="J556" s="56"/>
      <c r="K556" s="57"/>
      <c r="L556" s="57"/>
      <c r="M556" s="23"/>
      <c r="N556" s="23"/>
      <c r="O556" s="41"/>
      <c r="P556" s="41"/>
      <c r="Q556" s="25"/>
      <c r="R556" s="25"/>
      <c r="S556" s="23"/>
      <c r="T556" s="23"/>
      <c r="U556" s="23"/>
      <c r="V556" s="23"/>
      <c r="W556" s="41"/>
      <c r="X556" s="24"/>
      <c r="Y556" s="24"/>
      <c r="Z556" s="24"/>
      <c r="AA556" s="24"/>
    </row>
    <row r="557" spans="1:27" s="55" customFormat="1" x14ac:dyDescent="0.3">
      <c r="A557" s="38"/>
      <c r="B557" s="50"/>
      <c r="C557" s="51"/>
      <c r="D557" s="38"/>
      <c r="E557" s="38"/>
      <c r="F557" s="38"/>
      <c r="G557" s="23"/>
      <c r="H557" s="38"/>
      <c r="I557" s="38"/>
      <c r="J557" s="56"/>
      <c r="K557" s="57"/>
      <c r="L557" s="57"/>
      <c r="M557" s="23"/>
      <c r="N557" s="23"/>
      <c r="O557" s="41"/>
      <c r="P557" s="41"/>
      <c r="Q557" s="25"/>
      <c r="R557" s="25"/>
      <c r="S557" s="23"/>
      <c r="T557" s="23"/>
      <c r="U557" s="23"/>
      <c r="V557" s="23"/>
      <c r="W557" s="41"/>
      <c r="X557" s="24"/>
      <c r="Y557" s="24"/>
      <c r="Z557" s="24"/>
      <c r="AA557" s="24"/>
    </row>
    <row r="558" spans="1:27" s="55" customFormat="1" x14ac:dyDescent="0.3">
      <c r="A558" s="38"/>
      <c r="B558" s="50"/>
      <c r="C558" s="51"/>
      <c r="D558" s="38"/>
      <c r="E558" s="38"/>
      <c r="F558" s="38"/>
      <c r="G558" s="23"/>
      <c r="H558" s="38"/>
      <c r="I558" s="38"/>
      <c r="J558" s="56"/>
      <c r="K558" s="57"/>
      <c r="L558" s="57"/>
      <c r="M558" s="23"/>
      <c r="N558" s="23"/>
      <c r="O558" s="41"/>
      <c r="P558" s="41"/>
      <c r="Q558" s="25"/>
      <c r="R558" s="25"/>
      <c r="S558" s="23"/>
      <c r="T558" s="23"/>
      <c r="U558" s="23"/>
      <c r="V558" s="23"/>
      <c r="W558" s="41"/>
      <c r="X558" s="24"/>
      <c r="Y558" s="24"/>
      <c r="Z558" s="24"/>
      <c r="AA558" s="24"/>
    </row>
    <row r="559" spans="1:27" s="55" customFormat="1" x14ac:dyDescent="0.3">
      <c r="A559" s="38"/>
      <c r="B559" s="50"/>
      <c r="C559" s="51"/>
      <c r="D559" s="38"/>
      <c r="E559" s="38"/>
      <c r="F559" s="38"/>
      <c r="G559" s="23"/>
      <c r="H559" s="38"/>
      <c r="I559" s="38"/>
      <c r="J559" s="56"/>
      <c r="K559" s="57"/>
      <c r="L559" s="57"/>
      <c r="M559" s="23"/>
      <c r="N559" s="23"/>
      <c r="O559" s="41"/>
      <c r="P559" s="41"/>
      <c r="Q559" s="25"/>
      <c r="R559" s="25"/>
      <c r="S559" s="23"/>
      <c r="T559" s="23"/>
      <c r="U559" s="23"/>
      <c r="V559" s="23"/>
      <c r="W559" s="41"/>
      <c r="X559" s="24"/>
      <c r="Y559" s="24"/>
      <c r="Z559" s="24"/>
      <c r="AA559" s="24"/>
    </row>
    <row r="560" spans="1:27" s="55" customFormat="1" x14ac:dyDescent="0.3">
      <c r="A560" s="38"/>
      <c r="B560" s="50"/>
      <c r="C560" s="51"/>
      <c r="D560" s="38"/>
      <c r="E560" s="38"/>
      <c r="F560" s="38"/>
      <c r="G560" s="23"/>
      <c r="H560" s="38"/>
      <c r="I560" s="38"/>
      <c r="J560" s="56"/>
      <c r="K560" s="57"/>
      <c r="L560" s="57"/>
      <c r="M560" s="23"/>
      <c r="N560" s="23"/>
      <c r="O560" s="41"/>
      <c r="P560" s="41"/>
      <c r="Q560" s="25"/>
      <c r="R560" s="25"/>
      <c r="S560" s="23"/>
      <c r="T560" s="23"/>
      <c r="U560" s="23"/>
      <c r="V560" s="23"/>
      <c r="W560" s="41"/>
      <c r="X560" s="24"/>
      <c r="Y560" s="24"/>
      <c r="Z560" s="24"/>
      <c r="AA560" s="24"/>
    </row>
    <row r="561" spans="1:27" s="55" customFormat="1" x14ac:dyDescent="0.3">
      <c r="A561" s="38"/>
      <c r="B561" s="50"/>
      <c r="C561" s="51"/>
      <c r="D561" s="38"/>
      <c r="E561" s="38"/>
      <c r="F561" s="38"/>
      <c r="G561" s="23"/>
      <c r="H561" s="38"/>
      <c r="I561" s="38"/>
      <c r="J561" s="56"/>
      <c r="K561" s="57"/>
      <c r="L561" s="57"/>
      <c r="M561" s="23"/>
      <c r="N561" s="23"/>
      <c r="O561" s="41"/>
      <c r="P561" s="41"/>
      <c r="Q561" s="25"/>
      <c r="R561" s="25"/>
      <c r="S561" s="23"/>
      <c r="T561" s="23"/>
      <c r="U561" s="23"/>
      <c r="V561" s="23"/>
      <c r="W561" s="41"/>
      <c r="X561" s="24"/>
      <c r="Y561" s="24"/>
      <c r="Z561" s="24"/>
      <c r="AA561" s="24"/>
    </row>
    <row r="562" spans="1:27" s="55" customFormat="1" x14ac:dyDescent="0.3">
      <c r="A562" s="38"/>
      <c r="B562" s="50"/>
      <c r="C562" s="51"/>
      <c r="D562" s="38"/>
      <c r="E562" s="38"/>
      <c r="F562" s="38"/>
      <c r="G562" s="38"/>
      <c r="H562" s="38"/>
      <c r="I562" s="38"/>
      <c r="J562" s="56"/>
      <c r="K562" s="57"/>
      <c r="L562" s="57"/>
      <c r="M562" s="23"/>
      <c r="N562" s="23"/>
      <c r="O562" s="41"/>
      <c r="P562" s="41"/>
      <c r="Q562" s="25"/>
      <c r="R562" s="25"/>
      <c r="S562" s="23"/>
      <c r="T562" s="23"/>
      <c r="U562" s="23"/>
      <c r="V562" s="23"/>
      <c r="W562" s="41"/>
      <c r="X562" s="24"/>
      <c r="Y562" s="24"/>
      <c r="Z562" s="24"/>
      <c r="AA562" s="24"/>
    </row>
    <row r="563" spans="1:27" s="55" customFormat="1" x14ac:dyDescent="0.3">
      <c r="A563" s="38"/>
      <c r="B563" s="50"/>
      <c r="C563" s="51"/>
      <c r="D563" s="38"/>
      <c r="E563" s="38"/>
      <c r="F563" s="38"/>
      <c r="G563" s="38"/>
      <c r="H563" s="38"/>
      <c r="I563" s="38"/>
      <c r="J563" s="56"/>
      <c r="K563" s="57"/>
      <c r="L563" s="57"/>
      <c r="M563" s="23"/>
      <c r="N563" s="23"/>
      <c r="O563" s="41"/>
      <c r="P563" s="41"/>
      <c r="Q563" s="25"/>
      <c r="R563" s="25"/>
      <c r="S563" s="23"/>
      <c r="T563" s="23"/>
      <c r="U563" s="23"/>
      <c r="V563" s="23"/>
      <c r="W563" s="41"/>
      <c r="X563" s="24"/>
      <c r="Y563" s="24"/>
      <c r="Z563" s="24"/>
      <c r="AA563" s="24"/>
    </row>
    <row r="564" spans="1:27" s="55" customFormat="1" x14ac:dyDescent="0.3">
      <c r="A564" s="38"/>
      <c r="B564" s="50"/>
      <c r="C564" s="51"/>
      <c r="D564" s="38"/>
      <c r="E564" s="38"/>
      <c r="F564" s="38"/>
      <c r="G564" s="38"/>
      <c r="H564" s="38"/>
      <c r="I564" s="38"/>
      <c r="J564" s="56"/>
      <c r="K564" s="57"/>
      <c r="L564" s="57"/>
      <c r="M564" s="23"/>
      <c r="N564" s="23"/>
      <c r="O564" s="41"/>
      <c r="P564" s="41"/>
      <c r="Q564" s="25"/>
      <c r="R564" s="25"/>
      <c r="S564" s="23"/>
      <c r="T564" s="23"/>
      <c r="U564" s="23"/>
      <c r="V564" s="23"/>
      <c r="W564" s="41"/>
      <c r="X564" s="24"/>
      <c r="Y564" s="24"/>
      <c r="Z564" s="24"/>
      <c r="AA564" s="24"/>
    </row>
    <row r="565" spans="1:27" s="55" customFormat="1" x14ac:dyDescent="0.3">
      <c r="A565" s="38"/>
      <c r="B565" s="50"/>
      <c r="C565" s="51"/>
      <c r="D565" s="38"/>
      <c r="E565" s="38"/>
      <c r="F565" s="38"/>
      <c r="G565" s="38"/>
      <c r="H565" s="38"/>
      <c r="I565" s="38"/>
      <c r="J565" s="56"/>
      <c r="K565" s="57"/>
      <c r="L565" s="57"/>
      <c r="M565" s="23"/>
      <c r="N565" s="23"/>
      <c r="O565" s="41"/>
      <c r="P565" s="41"/>
      <c r="Q565" s="25"/>
      <c r="R565" s="25"/>
      <c r="S565" s="23"/>
      <c r="T565" s="23"/>
      <c r="U565" s="23"/>
      <c r="V565" s="23"/>
      <c r="W565" s="41"/>
      <c r="X565" s="24"/>
      <c r="Y565" s="24"/>
      <c r="Z565" s="24"/>
      <c r="AA565" s="24"/>
    </row>
    <row r="566" spans="1:27" s="55" customFormat="1" x14ac:dyDescent="0.3">
      <c r="A566" s="38"/>
      <c r="B566" s="50"/>
      <c r="C566" s="51"/>
      <c r="D566" s="38"/>
      <c r="E566" s="38"/>
      <c r="F566" s="38"/>
      <c r="G566" s="38"/>
      <c r="H566" s="38"/>
      <c r="I566" s="38"/>
      <c r="J566" s="56"/>
      <c r="K566" s="57"/>
      <c r="L566" s="57"/>
      <c r="M566" s="23"/>
      <c r="N566" s="23"/>
      <c r="O566" s="41"/>
      <c r="P566" s="41"/>
      <c r="Q566" s="25"/>
      <c r="R566" s="25"/>
      <c r="S566" s="23"/>
      <c r="T566" s="23"/>
      <c r="U566" s="23"/>
      <c r="V566" s="23"/>
      <c r="W566" s="41"/>
      <c r="X566" s="24"/>
      <c r="Y566" s="24"/>
      <c r="Z566" s="24"/>
      <c r="AA566" s="24"/>
    </row>
    <row r="567" spans="1:27" s="55" customFormat="1" x14ac:dyDescent="0.3">
      <c r="A567" s="38"/>
      <c r="B567" s="50"/>
      <c r="C567" s="51"/>
      <c r="D567" s="38"/>
      <c r="E567" s="38"/>
      <c r="F567" s="38"/>
      <c r="G567" s="38"/>
      <c r="H567" s="38"/>
      <c r="I567" s="38"/>
      <c r="J567" s="56"/>
      <c r="K567" s="57"/>
      <c r="L567" s="57"/>
      <c r="M567" s="23"/>
      <c r="N567" s="23"/>
      <c r="O567" s="41"/>
      <c r="P567" s="41"/>
      <c r="Q567" s="25"/>
      <c r="R567" s="25"/>
      <c r="S567" s="23"/>
      <c r="T567" s="23"/>
      <c r="U567" s="23"/>
      <c r="V567" s="23"/>
      <c r="W567" s="41"/>
      <c r="X567" s="24"/>
      <c r="Y567" s="24"/>
      <c r="Z567" s="24"/>
      <c r="AA567" s="24"/>
    </row>
    <row r="568" spans="1:27" s="55" customFormat="1" x14ac:dyDescent="0.3">
      <c r="A568" s="38"/>
      <c r="B568" s="50"/>
      <c r="C568" s="51"/>
      <c r="D568" s="38"/>
      <c r="E568" s="38"/>
      <c r="F568" s="38"/>
      <c r="G568" s="38"/>
      <c r="H568" s="38"/>
      <c r="I568" s="38"/>
      <c r="J568" s="39"/>
      <c r="K568" s="40"/>
      <c r="L568" s="40"/>
      <c r="M568" s="23"/>
      <c r="N568" s="23"/>
      <c r="O568" s="41"/>
      <c r="P568" s="41"/>
      <c r="Q568" s="41"/>
      <c r="R568" s="25"/>
      <c r="S568" s="23"/>
      <c r="T568" s="23"/>
      <c r="U568" s="23"/>
      <c r="V568" s="23"/>
      <c r="W568" s="41"/>
      <c r="X568" s="24"/>
      <c r="Y568" s="24"/>
      <c r="Z568" s="24"/>
      <c r="AA568" s="24"/>
    </row>
    <row r="569" spans="1:27" s="55" customFormat="1" x14ac:dyDescent="0.3">
      <c r="A569" s="38"/>
      <c r="B569" s="50"/>
      <c r="C569" s="51"/>
      <c r="D569" s="38"/>
      <c r="E569" s="38"/>
      <c r="F569" s="38"/>
      <c r="G569" s="38"/>
      <c r="H569" s="38"/>
      <c r="I569" s="38"/>
      <c r="J569" s="39"/>
      <c r="K569" s="40"/>
      <c r="L569" s="40"/>
      <c r="M569" s="23"/>
      <c r="N569" s="23"/>
      <c r="O569" s="41"/>
      <c r="P569" s="41"/>
      <c r="Q569" s="41"/>
      <c r="R569" s="25"/>
      <c r="S569" s="23"/>
      <c r="T569" s="23"/>
      <c r="U569" s="23"/>
      <c r="V569" s="23"/>
      <c r="W569" s="41"/>
      <c r="X569" s="24"/>
      <c r="Y569" s="24"/>
      <c r="Z569" s="24"/>
      <c r="AA569" s="24"/>
    </row>
    <row r="570" spans="1:27" s="55" customFormat="1" x14ac:dyDescent="0.3">
      <c r="A570" s="38"/>
      <c r="B570" s="50"/>
      <c r="C570" s="51"/>
      <c r="D570" s="38"/>
      <c r="E570" s="38"/>
      <c r="F570" s="38"/>
      <c r="G570" s="38"/>
      <c r="H570" s="38"/>
      <c r="I570" s="38"/>
      <c r="J570" s="39"/>
      <c r="K570" s="40"/>
      <c r="L570" s="40"/>
      <c r="M570" s="23"/>
      <c r="N570" s="23"/>
      <c r="O570" s="41"/>
      <c r="P570" s="41"/>
      <c r="Q570" s="41"/>
      <c r="R570" s="25"/>
      <c r="S570" s="23"/>
      <c r="T570" s="23"/>
      <c r="U570" s="23"/>
      <c r="V570" s="23"/>
      <c r="W570" s="41"/>
      <c r="X570" s="24"/>
      <c r="Y570" s="24"/>
      <c r="Z570" s="24"/>
      <c r="AA570" s="24"/>
    </row>
    <row r="571" spans="1:27" s="55" customFormat="1" x14ac:dyDescent="0.3">
      <c r="A571" s="38"/>
      <c r="B571" s="50"/>
      <c r="C571" s="51"/>
      <c r="D571" s="38"/>
      <c r="E571" s="38"/>
      <c r="F571" s="38"/>
      <c r="G571" s="38"/>
      <c r="H571" s="38"/>
      <c r="I571" s="38"/>
      <c r="J571" s="39"/>
      <c r="K571" s="40"/>
      <c r="L571" s="40"/>
      <c r="M571" s="23"/>
      <c r="N571" s="23"/>
      <c r="O571" s="41"/>
      <c r="P571" s="41"/>
      <c r="Q571" s="41"/>
      <c r="R571" s="25"/>
      <c r="S571" s="23"/>
      <c r="T571" s="23"/>
      <c r="U571" s="23"/>
      <c r="V571" s="23"/>
      <c r="W571" s="41"/>
      <c r="X571" s="24"/>
      <c r="Y571" s="24"/>
      <c r="Z571" s="24"/>
      <c r="AA571" s="24"/>
    </row>
    <row r="572" spans="1:27" s="64" customFormat="1" x14ac:dyDescent="0.3">
      <c r="A572" s="38"/>
      <c r="B572" s="50"/>
      <c r="C572" s="51"/>
      <c r="D572" s="38"/>
      <c r="E572" s="38"/>
      <c r="F572" s="38"/>
      <c r="G572" s="63"/>
      <c r="H572" s="38"/>
      <c r="I572" s="38"/>
      <c r="J572" s="39"/>
      <c r="K572" s="40"/>
      <c r="L572" s="40"/>
      <c r="M572" s="23"/>
      <c r="N572" s="23"/>
      <c r="O572" s="41"/>
      <c r="P572" s="41"/>
      <c r="Q572" s="41"/>
      <c r="R572" s="25"/>
      <c r="S572" s="23"/>
      <c r="T572" s="23"/>
      <c r="U572" s="23"/>
      <c r="V572" s="23"/>
      <c r="W572" s="41"/>
      <c r="X572" s="24"/>
      <c r="Y572" s="24"/>
      <c r="Z572" s="24"/>
      <c r="AA572" s="24"/>
    </row>
    <row r="573" spans="1:27" s="55" customFormat="1" x14ac:dyDescent="0.3">
      <c r="A573" s="38"/>
      <c r="B573" s="50"/>
      <c r="C573" s="51"/>
      <c r="D573" s="38"/>
      <c r="E573" s="38"/>
      <c r="F573" s="38"/>
      <c r="G573" s="63"/>
      <c r="H573" s="38"/>
      <c r="I573" s="38"/>
      <c r="J573" s="39"/>
      <c r="K573" s="40"/>
      <c r="L573" s="40"/>
      <c r="M573" s="23"/>
      <c r="N573" s="23"/>
      <c r="O573" s="41"/>
      <c r="P573" s="41"/>
      <c r="Q573" s="41"/>
      <c r="R573" s="25"/>
      <c r="S573" s="23"/>
      <c r="T573" s="23"/>
      <c r="U573" s="23"/>
      <c r="V573" s="23"/>
      <c r="W573" s="41"/>
      <c r="X573" s="24"/>
      <c r="Y573" s="24"/>
      <c r="Z573" s="24"/>
      <c r="AA573" s="24"/>
    </row>
    <row r="574" spans="1:27" s="44" customFormat="1" x14ac:dyDescent="0.3">
      <c r="A574" s="38"/>
      <c r="B574" s="50"/>
      <c r="C574" s="51"/>
      <c r="D574" s="38"/>
      <c r="E574" s="38"/>
      <c r="F574" s="38"/>
      <c r="G574" s="38"/>
      <c r="H574" s="38"/>
      <c r="I574" s="38"/>
      <c r="J574" s="39"/>
      <c r="K574" s="40"/>
      <c r="L574" s="40"/>
      <c r="M574" s="23"/>
      <c r="N574" s="23"/>
      <c r="O574" s="41"/>
      <c r="P574" s="41"/>
      <c r="Q574" s="41"/>
      <c r="R574" s="25"/>
      <c r="S574" s="23"/>
      <c r="T574" s="23"/>
      <c r="U574" s="23"/>
      <c r="V574" s="23"/>
      <c r="W574" s="41"/>
      <c r="X574" s="24"/>
      <c r="Y574" s="24"/>
      <c r="Z574" s="24"/>
      <c r="AA574" s="24"/>
    </row>
    <row r="575" spans="1:27" s="55" customFormat="1" x14ac:dyDescent="0.3">
      <c r="A575" s="38"/>
      <c r="B575" s="50"/>
      <c r="C575" s="51"/>
      <c r="D575" s="38"/>
      <c r="E575" s="38"/>
      <c r="F575" s="38"/>
      <c r="G575" s="38"/>
      <c r="H575" s="38"/>
      <c r="I575" s="38"/>
      <c r="J575" s="39"/>
      <c r="K575" s="40"/>
      <c r="L575" s="40"/>
      <c r="M575" s="23"/>
      <c r="N575" s="23"/>
      <c r="O575" s="41"/>
      <c r="P575" s="41"/>
      <c r="Q575" s="41"/>
      <c r="R575" s="25"/>
      <c r="S575" s="23"/>
      <c r="T575" s="23"/>
      <c r="U575" s="23"/>
      <c r="V575" s="23"/>
      <c r="W575" s="41"/>
      <c r="X575" s="24"/>
      <c r="Y575" s="24"/>
      <c r="Z575" s="24"/>
      <c r="AA575" s="24"/>
    </row>
    <row r="576" spans="1:27" s="55" customFormat="1" x14ac:dyDescent="0.3">
      <c r="A576" s="38"/>
      <c r="B576" s="50"/>
      <c r="C576" s="51"/>
      <c r="D576" s="38"/>
      <c r="E576" s="38"/>
      <c r="F576" s="38"/>
      <c r="G576" s="38"/>
      <c r="H576" s="38"/>
      <c r="I576" s="38"/>
      <c r="J576" s="39"/>
      <c r="K576" s="40"/>
      <c r="L576" s="40"/>
      <c r="M576" s="23"/>
      <c r="N576" s="23"/>
      <c r="O576" s="41"/>
      <c r="P576" s="41"/>
      <c r="Q576" s="41"/>
      <c r="R576" s="25"/>
      <c r="S576" s="23"/>
      <c r="T576" s="23"/>
      <c r="U576" s="23"/>
      <c r="V576" s="23"/>
      <c r="W576" s="41"/>
      <c r="X576" s="24"/>
      <c r="Y576" s="24"/>
      <c r="Z576" s="24"/>
      <c r="AA576" s="24"/>
    </row>
    <row r="577" spans="1:27" s="55" customFormat="1" x14ac:dyDescent="0.3">
      <c r="A577" s="38"/>
      <c r="B577" s="50"/>
      <c r="C577" s="51"/>
      <c r="D577" s="38"/>
      <c r="E577" s="38"/>
      <c r="F577" s="38"/>
      <c r="G577" s="38"/>
      <c r="H577" s="38"/>
      <c r="I577" s="38"/>
      <c r="J577" s="39"/>
      <c r="K577" s="40"/>
      <c r="L577" s="40"/>
      <c r="M577" s="23"/>
      <c r="N577" s="23"/>
      <c r="O577" s="41"/>
      <c r="P577" s="23"/>
      <c r="Q577" s="23"/>
      <c r="R577" s="25"/>
      <c r="S577" s="23"/>
      <c r="T577" s="23"/>
      <c r="U577" s="23"/>
      <c r="V577" s="23"/>
      <c r="W577" s="41"/>
      <c r="X577" s="24"/>
      <c r="Y577" s="24"/>
      <c r="Z577" s="24"/>
      <c r="AA577" s="24"/>
    </row>
    <row r="578" spans="1:27" s="55" customFormat="1" x14ac:dyDescent="0.3">
      <c r="A578" s="38"/>
      <c r="B578" s="50"/>
      <c r="C578" s="51"/>
      <c r="D578" s="38"/>
      <c r="E578" s="38"/>
      <c r="F578" s="38"/>
      <c r="G578" s="38"/>
      <c r="H578" s="38"/>
      <c r="I578" s="38"/>
      <c r="J578" s="39"/>
      <c r="K578" s="40"/>
      <c r="L578" s="40"/>
      <c r="M578" s="23"/>
      <c r="N578" s="23"/>
      <c r="O578" s="41"/>
      <c r="P578" s="23"/>
      <c r="Q578" s="23"/>
      <c r="R578" s="25"/>
      <c r="S578" s="23"/>
      <c r="T578" s="23"/>
      <c r="U578" s="23"/>
      <c r="V578" s="23"/>
      <c r="W578" s="41"/>
      <c r="X578" s="24"/>
      <c r="Y578" s="24"/>
      <c r="Z578" s="24"/>
      <c r="AA578" s="24"/>
    </row>
    <row r="579" spans="1:27" s="44" customFormat="1" x14ac:dyDescent="0.3">
      <c r="A579" s="38"/>
      <c r="B579" s="50"/>
      <c r="C579" s="51"/>
      <c r="D579" s="38"/>
      <c r="E579" s="38"/>
      <c r="F579" s="38"/>
      <c r="G579" s="38"/>
      <c r="H579" s="38"/>
      <c r="I579" s="38"/>
      <c r="J579" s="39"/>
      <c r="K579" s="40"/>
      <c r="L579" s="40"/>
      <c r="M579" s="23"/>
      <c r="N579" s="23"/>
      <c r="O579" s="41"/>
      <c r="P579" s="23"/>
      <c r="Q579" s="23"/>
      <c r="R579" s="25"/>
      <c r="S579" s="23"/>
      <c r="T579" s="23"/>
      <c r="U579" s="23"/>
      <c r="V579" s="23"/>
      <c r="W579" s="41"/>
      <c r="X579" s="24"/>
      <c r="Y579" s="24"/>
      <c r="Z579" s="24"/>
      <c r="AA579" s="24"/>
    </row>
    <row r="580" spans="1:27" s="55" customFormat="1" x14ac:dyDescent="0.3">
      <c r="A580" s="38"/>
      <c r="B580" s="50"/>
      <c r="C580" s="51"/>
      <c r="D580" s="38"/>
      <c r="E580" s="38"/>
      <c r="F580" s="38"/>
      <c r="G580" s="38"/>
      <c r="H580" s="38"/>
      <c r="I580" s="38"/>
      <c r="J580" s="39"/>
      <c r="K580" s="40"/>
      <c r="L580" s="40"/>
      <c r="M580" s="23"/>
      <c r="N580" s="23"/>
      <c r="O580" s="41"/>
      <c r="P580" s="23"/>
      <c r="Q580" s="23"/>
      <c r="R580" s="25"/>
      <c r="S580" s="23"/>
      <c r="T580" s="23"/>
      <c r="U580" s="23"/>
      <c r="V580" s="23"/>
      <c r="W580" s="41"/>
      <c r="X580" s="24"/>
      <c r="Y580" s="24"/>
      <c r="Z580" s="24"/>
      <c r="AA580" s="24"/>
    </row>
    <row r="581" spans="1:27" s="44" customFormat="1" x14ac:dyDescent="0.3">
      <c r="A581" s="38"/>
      <c r="B581" s="50"/>
      <c r="C581" s="51"/>
      <c r="D581" s="38"/>
      <c r="E581" s="38"/>
      <c r="F581" s="38"/>
      <c r="G581" s="38"/>
      <c r="H581" s="38"/>
      <c r="I581" s="38"/>
      <c r="J581" s="39"/>
      <c r="K581" s="40"/>
      <c r="L581" s="40"/>
      <c r="M581" s="23"/>
      <c r="N581" s="23"/>
      <c r="O581" s="41"/>
      <c r="P581" s="23"/>
      <c r="Q581" s="23"/>
      <c r="R581" s="25"/>
      <c r="S581" s="23"/>
      <c r="T581" s="23"/>
      <c r="U581" s="23"/>
      <c r="V581" s="23"/>
      <c r="W581" s="41"/>
      <c r="X581" s="24"/>
      <c r="Y581" s="24"/>
      <c r="Z581" s="24"/>
      <c r="AA581" s="24"/>
    </row>
    <row r="582" spans="1:27" s="55" customFormat="1" x14ac:dyDescent="0.3">
      <c r="A582" s="38"/>
      <c r="B582" s="50"/>
      <c r="C582" s="51"/>
      <c r="D582" s="38"/>
      <c r="E582" s="38"/>
      <c r="F582" s="38"/>
      <c r="G582" s="38"/>
      <c r="H582" s="38"/>
      <c r="I582" s="38"/>
      <c r="J582" s="39"/>
      <c r="K582" s="40"/>
      <c r="L582" s="40"/>
      <c r="M582" s="23"/>
      <c r="N582" s="23"/>
      <c r="O582" s="41"/>
      <c r="P582" s="41"/>
      <c r="Q582" s="41"/>
      <c r="R582" s="25"/>
      <c r="S582" s="23"/>
      <c r="T582" s="23"/>
      <c r="U582" s="23"/>
      <c r="V582" s="23"/>
      <c r="W582" s="41"/>
      <c r="X582" s="24"/>
      <c r="Y582" s="24"/>
      <c r="Z582" s="24"/>
      <c r="AA582" s="24"/>
    </row>
    <row r="583" spans="1:27" s="55" customFormat="1" x14ac:dyDescent="0.3">
      <c r="A583" s="38"/>
      <c r="B583" s="50"/>
      <c r="C583" s="51"/>
      <c r="D583" s="38"/>
      <c r="E583" s="38"/>
      <c r="F583" s="38"/>
      <c r="G583" s="38"/>
      <c r="H583" s="38"/>
      <c r="I583" s="38"/>
      <c r="J583" s="39"/>
      <c r="K583" s="57"/>
      <c r="L583" s="57"/>
      <c r="M583" s="23"/>
      <c r="N583" s="23"/>
      <c r="O583" s="41"/>
      <c r="P583" s="41"/>
      <c r="Q583" s="41"/>
      <c r="R583" s="25"/>
      <c r="S583" s="23"/>
      <c r="T583" s="23"/>
      <c r="U583" s="23"/>
      <c r="V583" s="23"/>
      <c r="W583" s="41"/>
      <c r="X583" s="24"/>
      <c r="Y583" s="24"/>
      <c r="Z583" s="24"/>
      <c r="AA583" s="24"/>
    </row>
    <row r="584" spans="1:27" ht="16.95" customHeight="1" x14ac:dyDescent="0.3">
      <c r="C584" s="51"/>
      <c r="G584" s="23"/>
      <c r="M584" s="23"/>
      <c r="N584" s="23"/>
      <c r="R584" s="25"/>
      <c r="S584" s="23"/>
      <c r="T584" s="23"/>
      <c r="U584" s="23"/>
      <c r="V584" s="23"/>
    </row>
    <row r="585" spans="1:27" x14ac:dyDescent="0.3">
      <c r="C585" s="51"/>
      <c r="J585" s="39"/>
      <c r="K585" s="40"/>
      <c r="L585" s="40"/>
      <c r="M585" s="23"/>
      <c r="N585" s="23"/>
      <c r="Q585" s="41"/>
      <c r="R585" s="25"/>
      <c r="S585" s="23"/>
      <c r="T585" s="23"/>
      <c r="U585" s="23"/>
      <c r="V585" s="23"/>
    </row>
    <row r="586" spans="1:27" x14ac:dyDescent="0.3">
      <c r="C586" s="51"/>
      <c r="J586" s="39"/>
      <c r="K586" s="40"/>
      <c r="L586" s="40"/>
      <c r="M586" s="23"/>
      <c r="N586" s="23"/>
      <c r="Q586" s="41"/>
      <c r="R586" s="25"/>
      <c r="S586" s="23"/>
      <c r="T586" s="23"/>
      <c r="U586" s="23"/>
      <c r="V586" s="23"/>
    </row>
    <row r="587" spans="1:27" x14ac:dyDescent="0.3">
      <c r="C587" s="51"/>
      <c r="J587" s="39"/>
      <c r="K587" s="40"/>
      <c r="L587" s="40"/>
      <c r="M587" s="23"/>
      <c r="N587" s="23"/>
      <c r="Q587" s="41"/>
      <c r="R587" s="25"/>
      <c r="S587" s="23"/>
      <c r="T587" s="23"/>
      <c r="U587" s="23"/>
      <c r="V587" s="23"/>
    </row>
    <row r="588" spans="1:27" x14ac:dyDescent="0.3">
      <c r="C588" s="51"/>
      <c r="J588" s="39"/>
      <c r="K588" s="40"/>
      <c r="L588" s="40"/>
      <c r="M588" s="23"/>
      <c r="N588" s="23"/>
      <c r="Q588" s="41"/>
      <c r="R588" s="25"/>
      <c r="S588" s="23"/>
      <c r="T588" s="23"/>
      <c r="U588" s="23"/>
      <c r="V588" s="23"/>
    </row>
    <row r="589" spans="1:27" x14ac:dyDescent="0.3">
      <c r="C589" s="51"/>
      <c r="J589" s="39"/>
      <c r="K589" s="40"/>
      <c r="L589" s="40"/>
      <c r="M589" s="23"/>
      <c r="N589" s="23"/>
      <c r="Q589" s="41"/>
      <c r="R589" s="25"/>
      <c r="S589" s="23"/>
      <c r="T589" s="23"/>
      <c r="U589" s="23"/>
      <c r="V589" s="23"/>
    </row>
    <row r="590" spans="1:27" x14ac:dyDescent="0.3">
      <c r="C590" s="51"/>
      <c r="J590" s="39"/>
      <c r="K590" s="40"/>
      <c r="L590" s="40"/>
      <c r="M590" s="23"/>
      <c r="N590" s="23"/>
      <c r="Q590" s="41"/>
      <c r="R590" s="25"/>
      <c r="S590" s="23"/>
      <c r="T590" s="23"/>
      <c r="U590" s="23"/>
      <c r="V590" s="23"/>
    </row>
    <row r="591" spans="1:27" x14ac:dyDescent="0.3">
      <c r="C591" s="51"/>
      <c r="J591" s="39"/>
      <c r="K591" s="40"/>
      <c r="L591" s="40"/>
      <c r="M591" s="23"/>
      <c r="N591" s="23"/>
      <c r="Q591" s="41"/>
      <c r="R591" s="25"/>
      <c r="S591" s="23"/>
      <c r="T591" s="23"/>
      <c r="U591" s="23"/>
      <c r="V591" s="23"/>
    </row>
    <row r="592" spans="1:27" x14ac:dyDescent="0.3">
      <c r="C592" s="51"/>
      <c r="G592" s="63"/>
      <c r="J592" s="39"/>
      <c r="K592" s="40"/>
      <c r="L592" s="40"/>
      <c r="M592" s="23"/>
      <c r="N592" s="23"/>
      <c r="Q592" s="41"/>
      <c r="R592" s="25"/>
      <c r="S592" s="23"/>
      <c r="T592" s="23"/>
      <c r="U592" s="23"/>
      <c r="V592" s="23"/>
    </row>
    <row r="593" spans="1:27" s="55" customFormat="1" x14ac:dyDescent="0.3">
      <c r="A593" s="38"/>
      <c r="B593" s="50"/>
      <c r="C593" s="51"/>
      <c r="D593" s="38"/>
      <c r="E593" s="38"/>
      <c r="F593" s="38"/>
      <c r="G593" s="38"/>
      <c r="H593" s="38"/>
      <c r="I593" s="38"/>
      <c r="J593" s="39"/>
      <c r="K593" s="40"/>
      <c r="L593" s="40"/>
      <c r="M593" s="23"/>
      <c r="N593" s="23"/>
      <c r="O593" s="41"/>
      <c r="P593" s="41"/>
      <c r="Q593" s="41"/>
      <c r="R593" s="25"/>
      <c r="S593" s="23"/>
      <c r="T593" s="23"/>
      <c r="U593" s="23"/>
      <c r="V593" s="23"/>
      <c r="W593" s="41"/>
      <c r="X593" s="24"/>
      <c r="Y593" s="24"/>
      <c r="Z593" s="24"/>
      <c r="AA593" s="24"/>
    </row>
    <row r="594" spans="1:27" s="55" customFormat="1" x14ac:dyDescent="0.3">
      <c r="A594" s="38"/>
      <c r="B594" s="50"/>
      <c r="C594" s="51"/>
      <c r="D594" s="38"/>
      <c r="E594" s="38"/>
      <c r="F594" s="38"/>
      <c r="G594" s="38"/>
      <c r="H594" s="38"/>
      <c r="I594" s="38"/>
      <c r="J594" s="39"/>
      <c r="K594" s="40"/>
      <c r="L594" s="40"/>
      <c r="M594" s="23"/>
      <c r="N594" s="23"/>
      <c r="O594" s="41"/>
      <c r="P594" s="23"/>
      <c r="Q594" s="23"/>
      <c r="R594" s="25"/>
      <c r="S594" s="23"/>
      <c r="T594" s="23"/>
      <c r="U594" s="23"/>
      <c r="V594" s="23"/>
      <c r="W594" s="41"/>
      <c r="X594" s="24"/>
      <c r="Y594" s="24"/>
      <c r="Z594" s="24"/>
      <c r="AA594" s="24"/>
    </row>
    <row r="595" spans="1:27" s="55" customFormat="1" x14ac:dyDescent="0.3">
      <c r="A595" s="38"/>
      <c r="B595" s="50"/>
      <c r="C595" s="51"/>
      <c r="D595" s="38"/>
      <c r="E595" s="38"/>
      <c r="F595" s="38"/>
      <c r="G595" s="38"/>
      <c r="H595" s="38"/>
      <c r="I595" s="38"/>
      <c r="J595" s="39"/>
      <c r="K595" s="40"/>
      <c r="L595" s="40"/>
      <c r="M595" s="23"/>
      <c r="N595" s="23"/>
      <c r="O595" s="41"/>
      <c r="P595" s="23"/>
      <c r="Q595" s="23"/>
      <c r="R595" s="25"/>
      <c r="S595" s="23"/>
      <c r="T595" s="23"/>
      <c r="U595" s="23"/>
      <c r="V595" s="23"/>
      <c r="W595" s="41"/>
      <c r="X595" s="24"/>
      <c r="Y595" s="24"/>
      <c r="Z595" s="24"/>
      <c r="AA595" s="24"/>
    </row>
    <row r="596" spans="1:27" s="55" customFormat="1" x14ac:dyDescent="0.3">
      <c r="A596" s="38"/>
      <c r="B596" s="50"/>
      <c r="C596" s="51"/>
      <c r="D596" s="38"/>
      <c r="E596" s="38"/>
      <c r="F596" s="38"/>
      <c r="G596" s="38"/>
      <c r="H596" s="38"/>
      <c r="I596" s="38"/>
      <c r="J596" s="39"/>
      <c r="K596" s="40"/>
      <c r="L596" s="40"/>
      <c r="M596" s="23"/>
      <c r="N596" s="23"/>
      <c r="O596" s="41"/>
      <c r="P596" s="23"/>
      <c r="Q596" s="23"/>
      <c r="R596" s="25"/>
      <c r="S596" s="23"/>
      <c r="T596" s="23"/>
      <c r="U596" s="23"/>
      <c r="V596" s="23"/>
      <c r="W596" s="41"/>
      <c r="X596" s="24"/>
      <c r="Y596" s="24"/>
      <c r="Z596" s="24"/>
      <c r="AA596" s="24"/>
    </row>
    <row r="597" spans="1:27" s="55" customFormat="1" x14ac:dyDescent="0.3">
      <c r="A597" s="38"/>
      <c r="B597" s="50"/>
      <c r="C597" s="51"/>
      <c r="D597" s="38"/>
      <c r="E597" s="38"/>
      <c r="F597" s="38"/>
      <c r="G597" s="38"/>
      <c r="H597" s="38"/>
      <c r="I597" s="38"/>
      <c r="J597" s="39"/>
      <c r="K597" s="40"/>
      <c r="L597" s="40"/>
      <c r="M597" s="23"/>
      <c r="N597" s="23"/>
      <c r="O597" s="41"/>
      <c r="P597" s="23"/>
      <c r="Q597" s="23"/>
      <c r="R597" s="25"/>
      <c r="S597" s="23"/>
      <c r="T597" s="23"/>
      <c r="U597" s="23"/>
      <c r="V597" s="23"/>
      <c r="W597" s="41"/>
      <c r="X597" s="24"/>
      <c r="Y597" s="24"/>
      <c r="Z597" s="24"/>
      <c r="AA597" s="24"/>
    </row>
    <row r="598" spans="1:27" s="55" customFormat="1" x14ac:dyDescent="0.3">
      <c r="A598" s="38"/>
      <c r="B598" s="50"/>
      <c r="C598" s="51"/>
      <c r="D598" s="38"/>
      <c r="E598" s="38"/>
      <c r="F598" s="38"/>
      <c r="G598" s="38"/>
      <c r="H598" s="38"/>
      <c r="I598" s="38"/>
      <c r="J598" s="39"/>
      <c r="K598" s="40"/>
      <c r="L598" s="40"/>
      <c r="M598" s="23"/>
      <c r="N598" s="23"/>
      <c r="O598" s="41"/>
      <c r="P598" s="23"/>
      <c r="Q598" s="23"/>
      <c r="R598" s="25"/>
      <c r="S598" s="23"/>
      <c r="T598" s="23"/>
      <c r="U598" s="23"/>
      <c r="V598" s="23"/>
      <c r="W598" s="41"/>
      <c r="X598" s="24"/>
      <c r="Y598" s="24"/>
      <c r="Z598" s="24"/>
      <c r="AA598" s="24"/>
    </row>
    <row r="599" spans="1:27" s="55" customFormat="1" x14ac:dyDescent="0.3">
      <c r="A599" s="38"/>
      <c r="B599" s="50"/>
      <c r="C599" s="51"/>
      <c r="D599" s="38"/>
      <c r="E599" s="38"/>
      <c r="F599" s="38"/>
      <c r="G599" s="38"/>
      <c r="H599" s="38"/>
      <c r="I599" s="38"/>
      <c r="J599" s="39"/>
      <c r="K599" s="40"/>
      <c r="L599" s="40"/>
      <c r="M599" s="23"/>
      <c r="N599" s="23"/>
      <c r="O599" s="41"/>
      <c r="P599" s="23"/>
      <c r="Q599" s="23"/>
      <c r="R599" s="25"/>
      <c r="S599" s="23"/>
      <c r="T599" s="23"/>
      <c r="U599" s="23"/>
      <c r="V599" s="23"/>
      <c r="W599" s="41"/>
      <c r="X599" s="24"/>
      <c r="Y599" s="24"/>
      <c r="Z599" s="24"/>
      <c r="AA599" s="24"/>
    </row>
    <row r="600" spans="1:27" s="55" customFormat="1" x14ac:dyDescent="0.3">
      <c r="A600" s="38"/>
      <c r="B600" s="50"/>
      <c r="C600" s="51"/>
      <c r="D600" s="38"/>
      <c r="E600" s="38"/>
      <c r="F600" s="38"/>
      <c r="G600" s="63"/>
      <c r="H600" s="38"/>
      <c r="I600" s="38"/>
      <c r="J600" s="39"/>
      <c r="K600" s="40"/>
      <c r="L600" s="40"/>
      <c r="M600" s="23"/>
      <c r="N600" s="23"/>
      <c r="O600" s="41"/>
      <c r="P600" s="23"/>
      <c r="Q600" s="23"/>
      <c r="R600" s="25"/>
      <c r="S600" s="23"/>
      <c r="T600" s="23"/>
      <c r="U600" s="23"/>
      <c r="V600" s="23"/>
      <c r="W600" s="41"/>
      <c r="X600" s="24"/>
      <c r="Y600" s="24"/>
      <c r="Z600" s="24"/>
      <c r="AA600" s="24"/>
    </row>
    <row r="601" spans="1:27" s="55" customFormat="1" x14ac:dyDescent="0.3">
      <c r="A601" s="38"/>
      <c r="B601" s="50"/>
      <c r="C601" s="51"/>
      <c r="D601" s="38"/>
      <c r="E601" s="38"/>
      <c r="F601" s="38"/>
      <c r="G601" s="63"/>
      <c r="H601" s="38"/>
      <c r="I601" s="38"/>
      <c r="J601" s="39"/>
      <c r="K601" s="40"/>
      <c r="L601" s="40"/>
      <c r="M601" s="23"/>
      <c r="N601" s="23"/>
      <c r="O601" s="41"/>
      <c r="P601" s="23"/>
      <c r="Q601" s="23"/>
      <c r="R601" s="25"/>
      <c r="S601" s="23"/>
      <c r="T601" s="23"/>
      <c r="U601" s="23"/>
      <c r="V601" s="23"/>
      <c r="W601" s="41"/>
      <c r="X601" s="24"/>
      <c r="Y601" s="24"/>
      <c r="Z601" s="24"/>
      <c r="AA601" s="24"/>
    </row>
    <row r="602" spans="1:27" s="55" customFormat="1" x14ac:dyDescent="0.3">
      <c r="A602" s="38"/>
      <c r="B602" s="50"/>
      <c r="C602" s="51"/>
      <c r="D602" s="38"/>
      <c r="E602" s="38"/>
      <c r="F602" s="38"/>
      <c r="G602" s="38"/>
      <c r="H602" s="38"/>
      <c r="I602" s="38"/>
      <c r="J602" s="39"/>
      <c r="K602" s="40"/>
      <c r="L602" s="40"/>
      <c r="M602" s="23"/>
      <c r="N602" s="23"/>
      <c r="O602" s="41"/>
      <c r="P602" s="23"/>
      <c r="Q602" s="23"/>
      <c r="R602" s="25"/>
      <c r="S602" s="23"/>
      <c r="T602" s="23"/>
      <c r="U602" s="23"/>
      <c r="V602" s="23"/>
      <c r="W602" s="41"/>
      <c r="X602" s="24"/>
      <c r="Y602" s="24"/>
      <c r="Z602" s="24"/>
      <c r="AA602" s="24"/>
    </row>
    <row r="603" spans="1:27" s="55" customFormat="1" x14ac:dyDescent="0.3">
      <c r="A603" s="38"/>
      <c r="B603" s="50"/>
      <c r="C603" s="51"/>
      <c r="D603" s="38"/>
      <c r="E603" s="38"/>
      <c r="F603" s="38"/>
      <c r="G603" s="38"/>
      <c r="H603" s="38"/>
      <c r="I603" s="38"/>
      <c r="J603" s="39"/>
      <c r="K603" s="40"/>
      <c r="L603" s="40"/>
      <c r="M603" s="23"/>
      <c r="N603" s="23"/>
      <c r="O603" s="41"/>
      <c r="P603" s="23"/>
      <c r="Q603" s="23"/>
      <c r="R603" s="25"/>
      <c r="S603" s="23"/>
      <c r="T603" s="23"/>
      <c r="U603" s="23"/>
      <c r="V603" s="23"/>
      <c r="W603" s="41"/>
      <c r="X603" s="24"/>
      <c r="Y603" s="24"/>
      <c r="Z603" s="24"/>
      <c r="AA603" s="24"/>
    </row>
    <row r="604" spans="1:27" s="55" customFormat="1" x14ac:dyDescent="0.3">
      <c r="A604" s="38"/>
      <c r="B604" s="50"/>
      <c r="C604" s="51"/>
      <c r="D604" s="38"/>
      <c r="E604" s="38"/>
      <c r="F604" s="38"/>
      <c r="G604" s="63"/>
      <c r="H604" s="38"/>
      <c r="I604" s="38"/>
      <c r="J604" s="39"/>
      <c r="K604" s="40"/>
      <c r="L604" s="40"/>
      <c r="M604" s="23"/>
      <c r="N604" s="23"/>
      <c r="O604" s="41"/>
      <c r="P604" s="23"/>
      <c r="Q604" s="23"/>
      <c r="R604" s="25"/>
      <c r="S604" s="23"/>
      <c r="T604" s="23"/>
      <c r="U604" s="23"/>
      <c r="V604" s="23"/>
      <c r="W604" s="41"/>
      <c r="X604" s="24"/>
      <c r="Y604" s="24"/>
      <c r="Z604" s="24"/>
      <c r="AA604" s="24"/>
    </row>
    <row r="605" spans="1:27" s="55" customFormat="1" x14ac:dyDescent="0.3">
      <c r="A605" s="38"/>
      <c r="B605" s="50"/>
      <c r="C605" s="51"/>
      <c r="D605" s="38"/>
      <c r="E605" s="38"/>
      <c r="F605" s="38"/>
      <c r="G605" s="63"/>
      <c r="H605" s="38"/>
      <c r="I605" s="38"/>
      <c r="J605" s="39"/>
      <c r="K605" s="40"/>
      <c r="L605" s="40"/>
      <c r="M605" s="23"/>
      <c r="N605" s="23"/>
      <c r="O605" s="41"/>
      <c r="P605" s="23"/>
      <c r="Q605" s="23"/>
      <c r="R605" s="25"/>
      <c r="S605" s="23"/>
      <c r="T605" s="23"/>
      <c r="U605" s="23"/>
      <c r="V605" s="23"/>
      <c r="W605" s="41"/>
      <c r="X605" s="24"/>
      <c r="Y605" s="24"/>
      <c r="Z605" s="24"/>
      <c r="AA605" s="24"/>
    </row>
    <row r="606" spans="1:27" s="55" customFormat="1" x14ac:dyDescent="0.3">
      <c r="A606" s="38"/>
      <c r="B606" s="50"/>
      <c r="C606" s="51"/>
      <c r="D606" s="38"/>
      <c r="E606" s="38"/>
      <c r="F606" s="38"/>
      <c r="G606" s="63"/>
      <c r="H606" s="38"/>
      <c r="I606" s="38"/>
      <c r="J606" s="39"/>
      <c r="K606" s="40"/>
      <c r="L606" s="40"/>
      <c r="M606" s="23"/>
      <c r="N606" s="23"/>
      <c r="O606" s="41"/>
      <c r="P606" s="23"/>
      <c r="Q606" s="23"/>
      <c r="R606" s="25"/>
      <c r="S606" s="23"/>
      <c r="T606" s="23"/>
      <c r="U606" s="23"/>
      <c r="V606" s="23"/>
      <c r="W606" s="41"/>
      <c r="X606" s="24"/>
      <c r="Y606" s="24"/>
      <c r="Z606" s="24"/>
      <c r="AA606" s="24"/>
    </row>
    <row r="607" spans="1:27" s="55" customFormat="1" x14ac:dyDescent="0.3">
      <c r="A607" s="38"/>
      <c r="B607" s="50"/>
      <c r="C607" s="51"/>
      <c r="D607" s="38"/>
      <c r="E607" s="38"/>
      <c r="F607" s="38"/>
      <c r="G607" s="63"/>
      <c r="H607" s="38"/>
      <c r="I607" s="38"/>
      <c r="J607" s="39"/>
      <c r="K607" s="40"/>
      <c r="L607" s="40"/>
      <c r="M607" s="23"/>
      <c r="N607" s="23"/>
      <c r="O607" s="41"/>
      <c r="P607" s="23"/>
      <c r="Q607" s="23"/>
      <c r="R607" s="25"/>
      <c r="S607" s="23"/>
      <c r="T607" s="23"/>
      <c r="U607" s="23"/>
      <c r="V607" s="23"/>
      <c r="W607" s="41"/>
      <c r="X607" s="24"/>
      <c r="Y607" s="24"/>
      <c r="Z607" s="24"/>
      <c r="AA607" s="24"/>
    </row>
    <row r="608" spans="1:27" s="55" customFormat="1" x14ac:dyDescent="0.3">
      <c r="A608" s="38"/>
      <c r="B608" s="50"/>
      <c r="C608" s="51"/>
      <c r="D608" s="38"/>
      <c r="E608" s="38"/>
      <c r="F608" s="38"/>
      <c r="G608" s="38"/>
      <c r="H608" s="38"/>
      <c r="I608" s="38"/>
      <c r="J608" s="39"/>
      <c r="K608" s="40"/>
      <c r="L608" s="40"/>
      <c r="M608" s="23"/>
      <c r="N608" s="23"/>
      <c r="O608" s="41"/>
      <c r="P608" s="23"/>
      <c r="Q608" s="23"/>
      <c r="R608" s="25"/>
      <c r="S608" s="23"/>
      <c r="T608" s="23"/>
      <c r="U608" s="23"/>
      <c r="V608" s="23"/>
      <c r="W608" s="41"/>
      <c r="X608" s="24"/>
      <c r="Y608" s="24"/>
      <c r="Z608" s="24"/>
      <c r="AA608" s="24"/>
    </row>
    <row r="609" spans="1:27" s="55" customFormat="1" x14ac:dyDescent="0.3">
      <c r="A609" s="38"/>
      <c r="B609" s="50"/>
      <c r="C609" s="51"/>
      <c r="D609" s="38"/>
      <c r="E609" s="38"/>
      <c r="F609" s="38"/>
      <c r="G609" s="38"/>
      <c r="H609" s="38"/>
      <c r="I609" s="38"/>
      <c r="J609" s="39"/>
      <c r="K609" s="40"/>
      <c r="L609" s="40"/>
      <c r="M609" s="23"/>
      <c r="N609" s="23"/>
      <c r="O609" s="41"/>
      <c r="P609" s="23"/>
      <c r="Q609" s="23"/>
      <c r="R609" s="25"/>
      <c r="S609" s="23"/>
      <c r="T609" s="23"/>
      <c r="U609" s="23"/>
      <c r="V609" s="23"/>
      <c r="W609" s="41"/>
      <c r="X609" s="24"/>
      <c r="Y609" s="24"/>
      <c r="Z609" s="24"/>
      <c r="AA609" s="24"/>
    </row>
    <row r="610" spans="1:27" s="55" customFormat="1" x14ac:dyDescent="0.3">
      <c r="A610" s="38"/>
      <c r="B610" s="50"/>
      <c r="C610" s="51"/>
      <c r="D610" s="38"/>
      <c r="E610" s="38"/>
      <c r="F610" s="38"/>
      <c r="G610" s="38"/>
      <c r="H610" s="38"/>
      <c r="I610" s="38"/>
      <c r="J610" s="39"/>
      <c r="K610" s="40"/>
      <c r="L610" s="40"/>
      <c r="M610" s="23"/>
      <c r="N610" s="23"/>
      <c r="O610" s="41"/>
      <c r="P610" s="23"/>
      <c r="Q610" s="23"/>
      <c r="R610" s="25"/>
      <c r="S610" s="23"/>
      <c r="T610" s="23"/>
      <c r="U610" s="23"/>
      <c r="V610" s="23"/>
      <c r="W610" s="41"/>
      <c r="X610" s="24"/>
      <c r="Y610" s="24"/>
      <c r="Z610" s="24"/>
      <c r="AA610" s="24"/>
    </row>
    <row r="611" spans="1:27" s="55" customFormat="1" x14ac:dyDescent="0.3">
      <c r="A611" s="38"/>
      <c r="B611" s="50"/>
      <c r="C611" s="51"/>
      <c r="D611" s="38"/>
      <c r="E611" s="38"/>
      <c r="F611" s="38"/>
      <c r="G611" s="38"/>
      <c r="H611" s="38"/>
      <c r="I611" s="38"/>
      <c r="J611" s="39"/>
      <c r="K611" s="40"/>
      <c r="L611" s="40"/>
      <c r="M611" s="23"/>
      <c r="N611" s="23"/>
      <c r="O611" s="41"/>
      <c r="P611" s="23"/>
      <c r="Q611" s="23"/>
      <c r="R611" s="25"/>
      <c r="S611" s="23"/>
      <c r="T611" s="23"/>
      <c r="U611" s="23"/>
      <c r="V611" s="23"/>
      <c r="W611" s="41"/>
      <c r="X611" s="24"/>
      <c r="Y611" s="24"/>
      <c r="Z611" s="24"/>
      <c r="AA611" s="24"/>
    </row>
    <row r="612" spans="1:27" s="55" customFormat="1" x14ac:dyDescent="0.3">
      <c r="A612" s="38"/>
      <c r="B612" s="50"/>
      <c r="C612" s="51"/>
      <c r="D612" s="38"/>
      <c r="E612" s="38"/>
      <c r="F612" s="38"/>
      <c r="G612" s="63"/>
      <c r="H612" s="38"/>
      <c r="I612" s="38"/>
      <c r="J612" s="39"/>
      <c r="K612" s="40"/>
      <c r="L612" s="40"/>
      <c r="M612" s="23"/>
      <c r="N612" s="23"/>
      <c r="O612" s="41"/>
      <c r="P612" s="23"/>
      <c r="Q612" s="23"/>
      <c r="R612" s="25"/>
      <c r="S612" s="23"/>
      <c r="T612" s="23"/>
      <c r="U612" s="23"/>
      <c r="V612" s="23"/>
      <c r="W612" s="41"/>
      <c r="X612" s="24"/>
      <c r="Y612" s="24"/>
      <c r="Z612" s="24"/>
      <c r="AA612" s="24"/>
    </row>
    <row r="613" spans="1:27" s="55" customFormat="1" x14ac:dyDescent="0.3">
      <c r="A613" s="38"/>
      <c r="B613" s="50"/>
      <c r="C613" s="51"/>
      <c r="D613" s="38"/>
      <c r="E613" s="38"/>
      <c r="F613" s="38"/>
      <c r="G613" s="63"/>
      <c r="H613" s="38"/>
      <c r="I613" s="38"/>
      <c r="J613" s="39"/>
      <c r="K613" s="40"/>
      <c r="L613" s="40"/>
      <c r="M613" s="23"/>
      <c r="N613" s="23"/>
      <c r="O613" s="41"/>
      <c r="P613" s="23"/>
      <c r="Q613" s="23"/>
      <c r="R613" s="25"/>
      <c r="S613" s="23"/>
      <c r="T613" s="23"/>
      <c r="U613" s="23"/>
      <c r="V613" s="23"/>
      <c r="W613" s="41"/>
      <c r="X613" s="24"/>
      <c r="Y613" s="24"/>
      <c r="Z613" s="24"/>
      <c r="AA613" s="24"/>
    </row>
    <row r="614" spans="1:27" s="55" customFormat="1" x14ac:dyDescent="0.3">
      <c r="A614" s="38"/>
      <c r="B614" s="50"/>
      <c r="C614" s="51"/>
      <c r="D614" s="38"/>
      <c r="E614" s="38"/>
      <c r="F614" s="38"/>
      <c r="G614" s="63"/>
      <c r="H614" s="38"/>
      <c r="I614" s="38"/>
      <c r="J614" s="39"/>
      <c r="K614" s="40"/>
      <c r="L614" s="40"/>
      <c r="M614" s="23"/>
      <c r="N614" s="23"/>
      <c r="O614" s="41"/>
      <c r="P614" s="23"/>
      <c r="Q614" s="23"/>
      <c r="R614" s="25"/>
      <c r="S614" s="23"/>
      <c r="T614" s="23"/>
      <c r="U614" s="23"/>
      <c r="V614" s="23"/>
      <c r="W614" s="41"/>
      <c r="X614" s="24"/>
      <c r="Y614" s="24"/>
      <c r="Z614" s="24"/>
      <c r="AA614" s="24"/>
    </row>
    <row r="615" spans="1:27" s="55" customFormat="1" x14ac:dyDescent="0.3">
      <c r="A615" s="38"/>
      <c r="B615" s="50"/>
      <c r="C615" s="51"/>
      <c r="D615" s="38"/>
      <c r="E615" s="38"/>
      <c r="F615" s="38"/>
      <c r="G615" s="63"/>
      <c r="H615" s="38"/>
      <c r="I615" s="38"/>
      <c r="J615" s="39"/>
      <c r="K615" s="40"/>
      <c r="L615" s="40"/>
      <c r="M615" s="23"/>
      <c r="N615" s="23"/>
      <c r="O615" s="41"/>
      <c r="P615" s="23"/>
      <c r="Q615" s="23"/>
      <c r="R615" s="25"/>
      <c r="S615" s="23"/>
      <c r="T615" s="23"/>
      <c r="U615" s="23"/>
      <c r="V615" s="23"/>
      <c r="W615" s="41"/>
      <c r="X615" s="24"/>
      <c r="Y615" s="24"/>
      <c r="Z615" s="24"/>
      <c r="AA615" s="24"/>
    </row>
    <row r="616" spans="1:27" s="55" customFormat="1" x14ac:dyDescent="0.3">
      <c r="A616" s="38"/>
      <c r="B616" s="50"/>
      <c r="C616" s="51"/>
      <c r="D616" s="38"/>
      <c r="E616" s="38"/>
      <c r="F616" s="38"/>
      <c r="G616" s="38"/>
      <c r="H616" s="38"/>
      <c r="I616" s="38"/>
      <c r="J616" s="39"/>
      <c r="K616" s="40"/>
      <c r="L616" s="40"/>
      <c r="M616" s="23"/>
      <c r="N616" s="23"/>
      <c r="O616" s="41"/>
      <c r="P616" s="23"/>
      <c r="Q616" s="23"/>
      <c r="R616" s="25"/>
      <c r="S616" s="23"/>
      <c r="T616" s="23"/>
      <c r="U616" s="23"/>
      <c r="V616" s="23"/>
      <c r="W616" s="41"/>
      <c r="X616" s="24"/>
      <c r="Y616" s="24"/>
      <c r="Z616" s="24"/>
      <c r="AA616" s="24"/>
    </row>
    <row r="617" spans="1:27" s="55" customFormat="1" x14ac:dyDescent="0.3">
      <c r="A617" s="38"/>
      <c r="B617" s="50"/>
      <c r="C617" s="51"/>
      <c r="D617" s="38"/>
      <c r="E617" s="38"/>
      <c r="F617" s="38"/>
      <c r="G617" s="38"/>
      <c r="H617" s="38"/>
      <c r="I617" s="38"/>
      <c r="J617" s="39"/>
      <c r="K617" s="40"/>
      <c r="L617" s="40"/>
      <c r="M617" s="23"/>
      <c r="N617" s="23"/>
      <c r="O617" s="41"/>
      <c r="P617" s="23"/>
      <c r="Q617" s="23"/>
      <c r="R617" s="25"/>
      <c r="S617" s="23"/>
      <c r="T617" s="23"/>
      <c r="U617" s="23"/>
      <c r="V617" s="23"/>
      <c r="W617" s="41"/>
      <c r="X617" s="24"/>
      <c r="Y617" s="24"/>
      <c r="Z617" s="24"/>
      <c r="AA617" s="24"/>
    </row>
    <row r="618" spans="1:27" s="55" customFormat="1" x14ac:dyDescent="0.3">
      <c r="A618" s="38"/>
      <c r="B618" s="50"/>
      <c r="C618" s="51"/>
      <c r="D618" s="38"/>
      <c r="E618" s="38"/>
      <c r="F618" s="38"/>
      <c r="G618" s="38"/>
      <c r="H618" s="38"/>
      <c r="I618" s="38"/>
      <c r="J618" s="39"/>
      <c r="K618" s="40"/>
      <c r="L618" s="40"/>
      <c r="M618" s="23"/>
      <c r="N618" s="23"/>
      <c r="O618" s="41"/>
      <c r="P618" s="23"/>
      <c r="Q618" s="23"/>
      <c r="R618" s="25"/>
      <c r="S618" s="23"/>
      <c r="T618" s="23"/>
      <c r="U618" s="23"/>
      <c r="V618" s="23"/>
      <c r="W618" s="41"/>
      <c r="X618" s="24"/>
      <c r="Y618" s="24"/>
      <c r="Z618" s="24"/>
      <c r="AA618" s="24"/>
    </row>
    <row r="619" spans="1:27" s="55" customFormat="1" x14ac:dyDescent="0.3">
      <c r="A619" s="38"/>
      <c r="B619" s="50"/>
      <c r="C619" s="51"/>
      <c r="D619" s="38"/>
      <c r="E619" s="38"/>
      <c r="F619" s="38"/>
      <c r="G619" s="38"/>
      <c r="H619" s="38"/>
      <c r="I619" s="38"/>
      <c r="J619" s="39"/>
      <c r="K619" s="40"/>
      <c r="L619" s="40"/>
      <c r="M619" s="23"/>
      <c r="N619" s="23"/>
      <c r="O619" s="41"/>
      <c r="P619" s="23"/>
      <c r="Q619" s="23"/>
      <c r="R619" s="25"/>
      <c r="S619" s="23"/>
      <c r="T619" s="23"/>
      <c r="U619" s="23"/>
      <c r="V619" s="23"/>
      <c r="W619" s="41"/>
      <c r="X619" s="24"/>
      <c r="Y619" s="24"/>
      <c r="Z619" s="24"/>
      <c r="AA619" s="24"/>
    </row>
    <row r="620" spans="1:27" s="55" customFormat="1" x14ac:dyDescent="0.3">
      <c r="A620" s="38"/>
      <c r="B620" s="50"/>
      <c r="C620" s="51"/>
      <c r="D620" s="38"/>
      <c r="E620" s="38"/>
      <c r="F620" s="38"/>
      <c r="G620" s="38"/>
      <c r="H620" s="38"/>
      <c r="I620" s="38"/>
      <c r="J620" s="39"/>
      <c r="K620" s="40"/>
      <c r="L620" s="40"/>
      <c r="M620" s="23"/>
      <c r="N620" s="23"/>
      <c r="O620" s="41"/>
      <c r="P620" s="23"/>
      <c r="Q620" s="23"/>
      <c r="R620" s="25"/>
      <c r="S620" s="23"/>
      <c r="T620" s="23"/>
      <c r="U620" s="23"/>
      <c r="V620" s="23"/>
      <c r="W620" s="41"/>
      <c r="X620" s="24"/>
      <c r="Y620" s="24"/>
      <c r="Z620" s="24"/>
      <c r="AA620" s="24"/>
    </row>
    <row r="621" spans="1:27" s="55" customFormat="1" x14ac:dyDescent="0.3">
      <c r="A621" s="38"/>
      <c r="B621" s="50"/>
      <c r="C621" s="51"/>
      <c r="D621" s="38"/>
      <c r="E621" s="38"/>
      <c r="F621" s="38"/>
      <c r="G621" s="38"/>
      <c r="H621" s="38"/>
      <c r="I621" s="38"/>
      <c r="J621" s="39"/>
      <c r="K621" s="40"/>
      <c r="L621" s="40"/>
      <c r="M621" s="23"/>
      <c r="N621" s="23"/>
      <c r="O621" s="41"/>
      <c r="P621" s="23"/>
      <c r="Q621" s="23"/>
      <c r="R621" s="25"/>
      <c r="S621" s="23"/>
      <c r="T621" s="23"/>
      <c r="U621" s="23"/>
      <c r="V621" s="23"/>
      <c r="W621" s="41"/>
      <c r="X621" s="24"/>
      <c r="Y621" s="24"/>
      <c r="Z621" s="24"/>
      <c r="AA621" s="24"/>
    </row>
    <row r="622" spans="1:27" s="55" customFormat="1" x14ac:dyDescent="0.3">
      <c r="A622" s="38"/>
      <c r="B622" s="50"/>
      <c r="C622" s="51"/>
      <c r="D622" s="38"/>
      <c r="E622" s="38"/>
      <c r="F622" s="38"/>
      <c r="G622" s="38"/>
      <c r="H622" s="38"/>
      <c r="I622" s="38"/>
      <c r="J622" s="39"/>
      <c r="K622" s="40"/>
      <c r="L622" s="40"/>
      <c r="M622" s="23"/>
      <c r="N622" s="23"/>
      <c r="O622" s="41"/>
      <c r="P622" s="41"/>
      <c r="Q622" s="41"/>
      <c r="R622" s="25"/>
      <c r="S622" s="23"/>
      <c r="T622" s="23"/>
      <c r="U622" s="23"/>
      <c r="V622" s="23"/>
      <c r="W622" s="41"/>
      <c r="X622" s="24"/>
      <c r="Y622" s="24"/>
      <c r="Z622" s="24"/>
      <c r="AA622" s="24"/>
    </row>
    <row r="623" spans="1:27" s="55" customFormat="1" x14ac:dyDescent="0.3">
      <c r="A623" s="38"/>
      <c r="B623" s="50"/>
      <c r="C623" s="51"/>
      <c r="D623" s="38"/>
      <c r="E623" s="38"/>
      <c r="F623" s="38"/>
      <c r="G623" s="38"/>
      <c r="H623" s="38"/>
      <c r="I623" s="38"/>
      <c r="J623" s="39"/>
      <c r="K623" s="40"/>
      <c r="L623" s="40"/>
      <c r="M623" s="23"/>
      <c r="N623" s="23"/>
      <c r="O623" s="41"/>
      <c r="P623" s="41"/>
      <c r="Q623" s="41"/>
      <c r="R623" s="25"/>
      <c r="S623" s="23"/>
      <c r="T623" s="23"/>
      <c r="U623" s="23"/>
      <c r="V623" s="23"/>
      <c r="W623" s="41"/>
      <c r="X623" s="24"/>
      <c r="Y623" s="24"/>
      <c r="Z623" s="24"/>
      <c r="AA623" s="24"/>
    </row>
    <row r="624" spans="1:27" ht="10.95" customHeight="1" x14ac:dyDescent="0.3">
      <c r="C624" s="51"/>
      <c r="J624" s="39"/>
      <c r="K624" s="40"/>
      <c r="L624" s="40"/>
      <c r="M624" s="23"/>
      <c r="N624" s="23"/>
      <c r="Q624" s="41"/>
      <c r="R624" s="25"/>
      <c r="S624" s="23"/>
      <c r="T624" s="23"/>
      <c r="U624" s="23"/>
      <c r="V624" s="23"/>
    </row>
    <row r="625" spans="3:22" x14ac:dyDescent="0.3">
      <c r="C625" s="51"/>
      <c r="J625" s="39"/>
      <c r="K625" s="40"/>
      <c r="L625" s="40"/>
      <c r="M625" s="23"/>
      <c r="N625" s="23"/>
      <c r="Q625" s="41"/>
      <c r="R625" s="25"/>
      <c r="S625" s="23"/>
      <c r="T625" s="23"/>
      <c r="U625" s="23"/>
      <c r="V625" s="23"/>
    </row>
    <row r="626" spans="3:22" x14ac:dyDescent="0.3">
      <c r="C626" s="51"/>
      <c r="J626" s="39"/>
      <c r="K626" s="40"/>
      <c r="L626" s="40"/>
      <c r="M626" s="23"/>
      <c r="N626" s="23"/>
      <c r="Q626" s="41"/>
      <c r="R626" s="25"/>
      <c r="S626" s="23"/>
      <c r="T626" s="23"/>
      <c r="U626" s="23"/>
      <c r="V626" s="23"/>
    </row>
    <row r="627" spans="3:22" x14ac:dyDescent="0.3">
      <c r="C627" s="51"/>
      <c r="J627" s="39"/>
      <c r="K627" s="40"/>
      <c r="L627" s="40"/>
      <c r="M627" s="23"/>
      <c r="N627" s="23"/>
      <c r="Q627" s="41"/>
      <c r="R627" s="25"/>
      <c r="S627" s="23"/>
      <c r="T627" s="23"/>
      <c r="U627" s="23"/>
      <c r="V627" s="23"/>
    </row>
    <row r="628" spans="3:22" x14ac:dyDescent="0.3">
      <c r="C628" s="51"/>
      <c r="J628" s="39"/>
      <c r="K628" s="40"/>
      <c r="L628" s="40"/>
      <c r="M628" s="23"/>
      <c r="N628" s="23"/>
      <c r="Q628" s="41"/>
      <c r="R628" s="25"/>
      <c r="S628" s="23"/>
      <c r="T628" s="23"/>
      <c r="U628" s="23"/>
      <c r="V628" s="23"/>
    </row>
    <row r="629" spans="3:22" x14ac:dyDescent="0.3">
      <c r="C629" s="51"/>
      <c r="G629" s="63"/>
      <c r="J629" s="39"/>
      <c r="K629" s="40"/>
      <c r="L629" s="40"/>
      <c r="M629" s="23"/>
      <c r="N629" s="23"/>
      <c r="Q629" s="41"/>
      <c r="R629" s="25"/>
      <c r="S629" s="23"/>
      <c r="T629" s="23"/>
      <c r="U629" s="23"/>
      <c r="V629" s="23"/>
    </row>
    <row r="630" spans="3:22" x14ac:dyDescent="0.3">
      <c r="C630" s="51"/>
      <c r="J630" s="39"/>
      <c r="K630" s="40"/>
      <c r="L630" s="40"/>
      <c r="M630" s="23"/>
      <c r="N630" s="23"/>
      <c r="Q630" s="41"/>
      <c r="R630" s="25"/>
      <c r="S630" s="23"/>
      <c r="T630" s="23"/>
      <c r="U630" s="23"/>
      <c r="V630" s="23"/>
    </row>
    <row r="631" spans="3:22" x14ac:dyDescent="0.3">
      <c r="C631" s="51"/>
      <c r="J631" s="39"/>
      <c r="K631" s="40"/>
      <c r="L631" s="40"/>
      <c r="M631" s="23"/>
      <c r="N631" s="23"/>
      <c r="Q631" s="41"/>
      <c r="R631" s="25"/>
      <c r="S631" s="23"/>
      <c r="T631" s="23"/>
      <c r="U631" s="23"/>
      <c r="V631" s="23"/>
    </row>
    <row r="632" spans="3:22" x14ac:dyDescent="0.3">
      <c r="C632" s="51"/>
      <c r="G632" s="63"/>
      <c r="J632" s="39"/>
      <c r="K632" s="40"/>
      <c r="L632" s="40"/>
      <c r="M632" s="23"/>
      <c r="N632" s="23"/>
      <c r="Q632" s="41"/>
      <c r="R632" s="25"/>
      <c r="S632" s="23"/>
      <c r="T632" s="23"/>
      <c r="U632" s="23"/>
      <c r="V632" s="23"/>
    </row>
    <row r="633" spans="3:22" x14ac:dyDescent="0.3">
      <c r="C633" s="51"/>
      <c r="G633" s="63"/>
      <c r="J633" s="39"/>
      <c r="K633" s="40"/>
      <c r="L633" s="40"/>
      <c r="M633" s="23"/>
      <c r="N633" s="23"/>
      <c r="Q633" s="41"/>
      <c r="R633" s="25"/>
      <c r="S633" s="23"/>
      <c r="T633" s="23"/>
      <c r="U633" s="23"/>
      <c r="V633" s="23"/>
    </row>
    <row r="634" spans="3:22" x14ac:dyDescent="0.3">
      <c r="C634" s="51"/>
      <c r="G634" s="63"/>
      <c r="J634" s="39"/>
      <c r="K634" s="40"/>
      <c r="L634" s="40"/>
      <c r="M634" s="23"/>
      <c r="N634" s="23"/>
      <c r="Q634" s="41"/>
      <c r="R634" s="25"/>
      <c r="S634" s="23"/>
      <c r="T634" s="23"/>
      <c r="U634" s="23"/>
      <c r="V634" s="23"/>
    </row>
    <row r="635" spans="3:22" x14ac:dyDescent="0.3">
      <c r="C635" s="51"/>
      <c r="G635" s="63"/>
      <c r="J635" s="39"/>
      <c r="K635" s="40"/>
      <c r="L635" s="40"/>
      <c r="M635" s="23"/>
      <c r="N635" s="23"/>
      <c r="Q635" s="41"/>
      <c r="R635" s="25"/>
      <c r="S635" s="23"/>
      <c r="T635" s="23"/>
      <c r="U635" s="23"/>
      <c r="V635" s="23"/>
    </row>
    <row r="636" spans="3:22" x14ac:dyDescent="0.3">
      <c r="C636" s="51"/>
      <c r="G636" s="63"/>
      <c r="J636" s="39"/>
      <c r="K636" s="40"/>
      <c r="L636" s="40"/>
      <c r="M636" s="23"/>
      <c r="N636" s="23"/>
      <c r="Q636" s="41"/>
      <c r="R636" s="25"/>
      <c r="S636" s="23"/>
      <c r="T636" s="23"/>
      <c r="U636" s="23"/>
      <c r="V636" s="23"/>
    </row>
    <row r="637" spans="3:22" x14ac:dyDescent="0.3">
      <c r="C637" s="51"/>
      <c r="J637" s="39"/>
      <c r="K637" s="40"/>
      <c r="L637" s="40"/>
      <c r="M637" s="23"/>
      <c r="N637" s="23"/>
      <c r="Q637" s="41"/>
      <c r="R637" s="25"/>
      <c r="S637" s="23"/>
      <c r="T637" s="23"/>
      <c r="U637" s="23"/>
      <c r="V637" s="23"/>
    </row>
    <row r="638" spans="3:22" x14ac:dyDescent="0.3">
      <c r="C638" s="51"/>
      <c r="G638" s="63"/>
      <c r="J638" s="39"/>
      <c r="K638" s="40"/>
      <c r="L638" s="40"/>
      <c r="M638" s="23"/>
      <c r="N638" s="23"/>
      <c r="Q638" s="41"/>
      <c r="R638" s="25"/>
      <c r="S638" s="23"/>
      <c r="T638" s="23"/>
      <c r="U638" s="23"/>
      <c r="V638" s="23"/>
    </row>
    <row r="639" spans="3:22" x14ac:dyDescent="0.3">
      <c r="C639" s="51"/>
      <c r="G639" s="63"/>
      <c r="J639" s="39"/>
      <c r="K639" s="40"/>
      <c r="L639" s="40"/>
      <c r="M639" s="23"/>
      <c r="N639" s="23"/>
      <c r="Q639" s="41"/>
      <c r="R639" s="25"/>
      <c r="S639" s="23"/>
      <c r="T639" s="23"/>
      <c r="U639" s="23"/>
      <c r="V639" s="23"/>
    </row>
    <row r="640" spans="3:22" x14ac:dyDescent="0.3">
      <c r="C640" s="51"/>
      <c r="G640" s="63"/>
      <c r="J640" s="39"/>
      <c r="K640" s="40"/>
      <c r="L640" s="40"/>
      <c r="M640" s="23"/>
      <c r="N640" s="23"/>
      <c r="Q640" s="41"/>
      <c r="R640" s="25"/>
      <c r="S640" s="23"/>
      <c r="T640" s="23"/>
      <c r="U640" s="23"/>
      <c r="V640" s="23"/>
    </row>
    <row r="641" spans="3:22" x14ac:dyDescent="0.3">
      <c r="C641" s="51"/>
      <c r="G641" s="63"/>
      <c r="J641" s="39"/>
      <c r="K641" s="40"/>
      <c r="L641" s="40"/>
      <c r="M641" s="23"/>
      <c r="N641" s="23"/>
      <c r="Q641" s="41"/>
      <c r="R641" s="25"/>
      <c r="S641" s="23"/>
      <c r="T641" s="23"/>
      <c r="U641" s="23"/>
      <c r="V641" s="23"/>
    </row>
    <row r="642" spans="3:22" x14ac:dyDescent="0.3">
      <c r="C642" s="51"/>
      <c r="G642" s="63"/>
      <c r="J642" s="39"/>
      <c r="K642" s="40"/>
      <c r="L642" s="40"/>
      <c r="M642" s="23"/>
      <c r="N642" s="23"/>
      <c r="Q642" s="41"/>
      <c r="R642" s="25"/>
      <c r="S642" s="23"/>
      <c r="T642" s="23"/>
      <c r="U642" s="23"/>
      <c r="V642" s="23"/>
    </row>
    <row r="643" spans="3:22" x14ac:dyDescent="0.3">
      <c r="C643" s="51"/>
      <c r="G643" s="63"/>
      <c r="J643" s="39"/>
      <c r="K643" s="40"/>
      <c r="L643" s="40"/>
      <c r="M643" s="23"/>
      <c r="N643" s="23"/>
      <c r="Q643" s="41"/>
      <c r="R643" s="25"/>
      <c r="S643" s="23"/>
      <c r="T643" s="23"/>
      <c r="U643" s="23"/>
      <c r="V643" s="23"/>
    </row>
    <row r="644" spans="3:22" x14ac:dyDescent="0.3">
      <c r="C644" s="51"/>
      <c r="G644" s="23"/>
      <c r="M644" s="23"/>
      <c r="N644" s="23"/>
      <c r="R644" s="25"/>
      <c r="S644" s="23"/>
      <c r="T644" s="23"/>
      <c r="U644" s="23"/>
      <c r="V644" s="23"/>
    </row>
    <row r="645" spans="3:22" x14ac:dyDescent="0.3">
      <c r="C645" s="51"/>
      <c r="G645" s="63"/>
      <c r="J645" s="39"/>
      <c r="K645" s="40"/>
      <c r="L645" s="40"/>
      <c r="M645" s="23"/>
      <c r="N645" s="23"/>
      <c r="P645" s="23"/>
      <c r="Q645" s="23"/>
      <c r="R645" s="25"/>
      <c r="S645" s="23"/>
      <c r="T645" s="23"/>
      <c r="U645" s="23"/>
      <c r="V645" s="23"/>
    </row>
    <row r="646" spans="3:22" x14ac:dyDescent="0.3">
      <c r="C646" s="51"/>
      <c r="J646" s="39"/>
      <c r="K646" s="40"/>
      <c r="L646" s="40"/>
      <c r="M646" s="23"/>
      <c r="N646" s="23"/>
      <c r="P646" s="23"/>
      <c r="Q646" s="23"/>
      <c r="R646" s="25"/>
      <c r="S646" s="23"/>
      <c r="T646" s="23"/>
      <c r="U646" s="23"/>
      <c r="V646" s="23"/>
    </row>
    <row r="647" spans="3:22" x14ac:dyDescent="0.3">
      <c r="C647" s="51"/>
      <c r="J647" s="39"/>
      <c r="K647" s="40"/>
      <c r="L647" s="40"/>
      <c r="M647" s="23"/>
      <c r="N647" s="23"/>
      <c r="P647" s="23"/>
      <c r="Q647" s="23"/>
      <c r="R647" s="25"/>
      <c r="S647" s="23"/>
      <c r="T647" s="23"/>
      <c r="U647" s="23"/>
      <c r="V647" s="23"/>
    </row>
    <row r="648" spans="3:22" x14ac:dyDescent="0.3">
      <c r="C648" s="51"/>
      <c r="G648" s="63"/>
      <c r="J648" s="39"/>
      <c r="K648" s="40"/>
      <c r="L648" s="40"/>
      <c r="M648" s="23"/>
      <c r="N648" s="23"/>
      <c r="P648" s="23"/>
      <c r="Q648" s="23"/>
      <c r="R648" s="25"/>
      <c r="S648" s="23"/>
      <c r="T648" s="23"/>
      <c r="U648" s="23"/>
      <c r="V648" s="23"/>
    </row>
    <row r="649" spans="3:22" x14ac:dyDescent="0.3">
      <c r="C649" s="51"/>
      <c r="G649" s="63"/>
      <c r="J649" s="39"/>
      <c r="K649" s="40"/>
      <c r="L649" s="40"/>
      <c r="M649" s="23"/>
      <c r="N649" s="23"/>
      <c r="P649" s="23"/>
      <c r="Q649" s="23"/>
      <c r="R649" s="25"/>
      <c r="S649" s="23"/>
      <c r="T649" s="23"/>
      <c r="U649" s="23"/>
      <c r="V649" s="23"/>
    </row>
    <row r="650" spans="3:22" x14ac:dyDescent="0.3">
      <c r="C650" s="51"/>
      <c r="J650" s="39"/>
      <c r="K650" s="40"/>
      <c r="L650" s="40"/>
      <c r="M650" s="23"/>
      <c r="N650" s="23"/>
      <c r="P650" s="23"/>
      <c r="Q650" s="23"/>
      <c r="R650" s="25"/>
      <c r="S650" s="23"/>
      <c r="T650" s="23"/>
      <c r="U650" s="23"/>
      <c r="V650" s="23"/>
    </row>
    <row r="651" spans="3:22" x14ac:dyDescent="0.3">
      <c r="C651" s="51"/>
      <c r="J651" s="39"/>
      <c r="K651" s="40"/>
      <c r="L651" s="40"/>
      <c r="M651" s="23"/>
      <c r="N651" s="23"/>
      <c r="P651" s="23"/>
      <c r="Q651" s="23"/>
      <c r="R651" s="25"/>
      <c r="S651" s="23"/>
      <c r="T651" s="23"/>
      <c r="U651" s="23"/>
      <c r="V651" s="23"/>
    </row>
    <row r="652" spans="3:22" x14ac:dyDescent="0.3">
      <c r="C652" s="51"/>
      <c r="G652" s="63"/>
      <c r="J652" s="39"/>
      <c r="K652" s="40"/>
      <c r="L652" s="40"/>
      <c r="M652" s="23"/>
      <c r="N652" s="23"/>
      <c r="P652" s="23"/>
      <c r="Q652" s="23"/>
      <c r="R652" s="25"/>
      <c r="S652" s="23"/>
      <c r="T652" s="23"/>
      <c r="U652" s="23"/>
      <c r="V652" s="23"/>
    </row>
    <row r="653" spans="3:22" x14ac:dyDescent="0.3">
      <c r="C653" s="51"/>
      <c r="G653" s="63"/>
      <c r="J653" s="39"/>
      <c r="K653" s="40"/>
      <c r="L653" s="40"/>
      <c r="M653" s="23"/>
      <c r="N653" s="23"/>
      <c r="P653" s="23"/>
      <c r="Q653" s="23"/>
      <c r="R653" s="25"/>
      <c r="S653" s="23"/>
      <c r="T653" s="23"/>
      <c r="U653" s="23"/>
      <c r="V653" s="23"/>
    </row>
    <row r="654" spans="3:22" x14ac:dyDescent="0.3">
      <c r="C654" s="51"/>
      <c r="J654" s="39"/>
      <c r="K654" s="40"/>
      <c r="L654" s="40"/>
      <c r="M654" s="23"/>
      <c r="N654" s="23"/>
      <c r="P654" s="23"/>
      <c r="Q654" s="23"/>
      <c r="R654" s="25"/>
      <c r="S654" s="23"/>
      <c r="T654" s="23"/>
      <c r="U654" s="23"/>
      <c r="V654" s="23"/>
    </row>
    <row r="655" spans="3:22" x14ac:dyDescent="0.3">
      <c r="C655" s="51"/>
      <c r="J655" s="39"/>
      <c r="K655" s="40"/>
      <c r="L655" s="40"/>
      <c r="M655" s="23"/>
      <c r="N655" s="23"/>
      <c r="P655" s="23"/>
      <c r="Q655" s="23"/>
      <c r="R655" s="25"/>
      <c r="S655" s="23"/>
      <c r="T655" s="23"/>
      <c r="U655" s="23"/>
      <c r="V655" s="23"/>
    </row>
    <row r="656" spans="3:22" x14ac:dyDescent="0.3">
      <c r="C656" s="51"/>
      <c r="J656" s="39"/>
      <c r="K656" s="40"/>
      <c r="L656" s="40"/>
      <c r="M656" s="23"/>
      <c r="N656" s="23"/>
      <c r="P656" s="23"/>
      <c r="Q656" s="23"/>
      <c r="R656" s="25"/>
      <c r="S656" s="23"/>
      <c r="T656" s="23"/>
      <c r="U656" s="23"/>
      <c r="V656" s="23"/>
    </row>
    <row r="657" spans="1:27" x14ac:dyDescent="0.3">
      <c r="C657" s="51"/>
      <c r="J657" s="39"/>
      <c r="K657" s="40"/>
      <c r="L657" s="40"/>
      <c r="M657" s="23"/>
      <c r="N657" s="23"/>
      <c r="P657" s="23"/>
      <c r="Q657" s="23"/>
      <c r="R657" s="25"/>
      <c r="S657" s="23"/>
      <c r="T657" s="23"/>
      <c r="U657" s="23"/>
      <c r="V657" s="23"/>
    </row>
    <row r="658" spans="1:27" x14ac:dyDescent="0.3">
      <c r="C658" s="51"/>
      <c r="J658" s="39"/>
      <c r="K658" s="40"/>
      <c r="L658" s="40"/>
      <c r="M658" s="23"/>
      <c r="N658" s="23"/>
      <c r="P658" s="23"/>
      <c r="Q658" s="23"/>
      <c r="R658" s="25"/>
      <c r="S658" s="23"/>
      <c r="T658" s="23"/>
      <c r="U658" s="23"/>
      <c r="V658" s="23"/>
    </row>
    <row r="659" spans="1:27" x14ac:dyDescent="0.3">
      <c r="C659" s="51"/>
      <c r="J659" s="39"/>
      <c r="K659" s="40"/>
      <c r="L659" s="40"/>
      <c r="M659" s="23"/>
      <c r="N659" s="23"/>
      <c r="P659" s="23"/>
      <c r="Q659" s="23"/>
      <c r="R659" s="25"/>
      <c r="S659" s="23"/>
      <c r="T659" s="23"/>
      <c r="U659" s="23"/>
      <c r="V659" s="23"/>
    </row>
    <row r="660" spans="1:27" x14ac:dyDescent="0.3">
      <c r="C660" s="51"/>
      <c r="J660" s="39"/>
      <c r="K660" s="40"/>
      <c r="L660" s="40"/>
      <c r="M660" s="23"/>
      <c r="N660" s="23"/>
      <c r="P660" s="23"/>
      <c r="Q660" s="23"/>
      <c r="R660" s="25"/>
      <c r="S660" s="23"/>
      <c r="T660" s="23"/>
      <c r="U660" s="23"/>
      <c r="V660" s="23"/>
    </row>
    <row r="661" spans="1:27" x14ac:dyDescent="0.3">
      <c r="C661" s="51"/>
      <c r="J661" s="39"/>
      <c r="K661" s="40"/>
      <c r="L661" s="40"/>
      <c r="M661" s="23"/>
      <c r="N661" s="23"/>
      <c r="P661" s="23"/>
      <c r="Q661" s="23"/>
      <c r="R661" s="25"/>
      <c r="S661" s="23"/>
      <c r="T661" s="23"/>
      <c r="U661" s="23"/>
      <c r="V661" s="23"/>
    </row>
    <row r="662" spans="1:27" x14ac:dyDescent="0.3">
      <c r="C662" s="51"/>
      <c r="J662" s="39"/>
      <c r="K662" s="40"/>
      <c r="L662" s="40"/>
      <c r="M662" s="23"/>
      <c r="N662" s="23"/>
      <c r="P662" s="23"/>
      <c r="Q662" s="23"/>
      <c r="R662" s="25"/>
      <c r="S662" s="23"/>
      <c r="T662" s="23"/>
      <c r="U662" s="23"/>
      <c r="V662" s="23"/>
    </row>
    <row r="663" spans="1:27" x14ac:dyDescent="0.3">
      <c r="C663" s="51"/>
      <c r="J663" s="39"/>
      <c r="K663" s="40"/>
      <c r="L663" s="40"/>
      <c r="M663" s="23"/>
      <c r="N663" s="23"/>
      <c r="P663" s="23"/>
      <c r="Q663" s="23"/>
      <c r="R663" s="25"/>
      <c r="S663" s="23"/>
      <c r="T663" s="23"/>
      <c r="U663" s="23"/>
      <c r="V663" s="23"/>
    </row>
    <row r="664" spans="1:27" x14ac:dyDescent="0.3">
      <c r="C664" s="51"/>
      <c r="J664" s="39"/>
      <c r="K664" s="40"/>
      <c r="L664" s="40"/>
      <c r="M664" s="23"/>
      <c r="N664" s="23"/>
      <c r="Q664" s="41"/>
      <c r="R664" s="25"/>
      <c r="S664" s="23"/>
      <c r="T664" s="23"/>
      <c r="U664" s="23"/>
      <c r="V664" s="23"/>
    </row>
    <row r="665" spans="1:27" x14ac:dyDescent="0.3">
      <c r="C665" s="51"/>
      <c r="J665" s="39"/>
      <c r="K665" s="40"/>
      <c r="L665" s="40"/>
      <c r="M665" s="23"/>
      <c r="N665" s="23"/>
      <c r="Q665" s="41"/>
      <c r="R665" s="25"/>
      <c r="S665" s="23"/>
      <c r="T665" s="23"/>
      <c r="U665" s="23"/>
      <c r="V665" s="23"/>
    </row>
    <row r="666" spans="1:27" x14ac:dyDescent="0.3">
      <c r="C666" s="51"/>
      <c r="G666" s="63"/>
      <c r="J666" s="39"/>
      <c r="K666" s="40"/>
      <c r="L666" s="40"/>
      <c r="M666" s="23"/>
      <c r="N666" s="23"/>
      <c r="Q666" s="41"/>
      <c r="R666" s="25"/>
      <c r="S666" s="23"/>
      <c r="T666" s="23"/>
      <c r="U666" s="23"/>
      <c r="V666" s="23"/>
    </row>
    <row r="667" spans="1:27" x14ac:dyDescent="0.3">
      <c r="C667" s="51"/>
      <c r="J667" s="39"/>
      <c r="K667" s="40"/>
      <c r="L667" s="40"/>
      <c r="M667" s="23"/>
      <c r="N667" s="23"/>
      <c r="Q667" s="41"/>
      <c r="R667" s="25"/>
      <c r="S667" s="23"/>
      <c r="T667" s="23"/>
      <c r="U667" s="23"/>
      <c r="V667" s="23"/>
    </row>
    <row r="668" spans="1:27" x14ac:dyDescent="0.3">
      <c r="C668" s="51"/>
      <c r="J668" s="39"/>
      <c r="K668" s="40"/>
      <c r="L668" s="40"/>
      <c r="M668" s="23"/>
      <c r="N668" s="23"/>
      <c r="Q668" s="41"/>
      <c r="R668" s="25"/>
      <c r="S668" s="23"/>
      <c r="T668" s="23"/>
      <c r="U668" s="23"/>
      <c r="V668" s="23"/>
    </row>
    <row r="669" spans="1:27" x14ac:dyDescent="0.3">
      <c r="C669" s="51"/>
      <c r="J669" s="39"/>
      <c r="K669" s="40"/>
      <c r="L669" s="40"/>
      <c r="M669" s="23"/>
      <c r="N669" s="23"/>
      <c r="Q669" s="41"/>
      <c r="R669" s="25"/>
      <c r="S669" s="23"/>
      <c r="T669" s="23"/>
      <c r="U669" s="23"/>
      <c r="V669" s="23"/>
    </row>
    <row r="670" spans="1:27" x14ac:dyDescent="0.3">
      <c r="C670" s="51"/>
      <c r="J670" s="39"/>
      <c r="K670" s="40"/>
      <c r="L670" s="40"/>
      <c r="M670" s="23"/>
      <c r="N670" s="23"/>
      <c r="Q670" s="41"/>
      <c r="R670" s="25"/>
      <c r="S670" s="23"/>
      <c r="T670" s="23"/>
      <c r="U670" s="23"/>
      <c r="V670" s="23"/>
    </row>
    <row r="671" spans="1:27" x14ac:dyDescent="0.3">
      <c r="C671" s="51"/>
      <c r="J671" s="39"/>
      <c r="K671" s="40"/>
      <c r="L671" s="40"/>
      <c r="M671" s="23"/>
      <c r="N671" s="23"/>
      <c r="Q671" s="41"/>
      <c r="R671" s="25"/>
      <c r="S671" s="23"/>
      <c r="T671" s="23"/>
      <c r="U671" s="23"/>
      <c r="V671" s="23"/>
    </row>
    <row r="672" spans="1:27" s="55" customFormat="1" x14ac:dyDescent="0.3">
      <c r="A672" s="38"/>
      <c r="B672" s="50"/>
      <c r="C672" s="51"/>
      <c r="D672" s="38"/>
      <c r="E672" s="38"/>
      <c r="F672" s="38"/>
      <c r="G672" s="38"/>
      <c r="H672" s="38"/>
      <c r="I672" s="38"/>
      <c r="J672" s="39"/>
      <c r="K672" s="40"/>
      <c r="L672" s="40"/>
      <c r="M672" s="23"/>
      <c r="N672" s="23"/>
      <c r="O672" s="41"/>
      <c r="P672" s="41"/>
      <c r="Q672" s="41"/>
      <c r="R672" s="25"/>
      <c r="S672" s="23"/>
      <c r="T672" s="23"/>
      <c r="U672" s="23"/>
      <c r="V672" s="23"/>
      <c r="W672" s="41"/>
      <c r="X672" s="24"/>
      <c r="Y672" s="24"/>
      <c r="Z672" s="24"/>
      <c r="AA672" s="24"/>
    </row>
    <row r="673" spans="3:22" x14ac:dyDescent="0.3">
      <c r="C673" s="51"/>
      <c r="J673" s="39"/>
      <c r="K673" s="40"/>
      <c r="L673" s="40"/>
      <c r="M673" s="23"/>
      <c r="N673" s="23"/>
      <c r="Q673" s="41"/>
      <c r="R673" s="25"/>
      <c r="S673" s="23"/>
      <c r="T673" s="23"/>
      <c r="U673" s="23"/>
      <c r="V673" s="23"/>
    </row>
    <row r="674" spans="3:22" x14ac:dyDescent="0.3">
      <c r="C674" s="51"/>
      <c r="J674" s="39"/>
      <c r="K674" s="40"/>
      <c r="L674" s="40"/>
      <c r="M674" s="23"/>
      <c r="N674" s="23"/>
      <c r="Q674" s="41"/>
      <c r="R674" s="25"/>
      <c r="S674" s="23"/>
      <c r="T674" s="23"/>
      <c r="U674" s="23"/>
      <c r="V674" s="23"/>
    </row>
    <row r="675" spans="3:22" x14ac:dyDescent="0.3">
      <c r="C675" s="51"/>
      <c r="J675" s="39"/>
      <c r="K675" s="40"/>
      <c r="L675" s="40"/>
      <c r="M675" s="23"/>
      <c r="N675" s="23"/>
      <c r="Q675" s="41"/>
      <c r="R675" s="25"/>
      <c r="S675" s="23"/>
      <c r="T675" s="23"/>
      <c r="U675" s="23"/>
      <c r="V675" s="23"/>
    </row>
    <row r="676" spans="3:22" x14ac:dyDescent="0.3">
      <c r="C676" s="51"/>
      <c r="J676" s="39"/>
      <c r="K676" s="40"/>
      <c r="L676" s="40"/>
      <c r="M676" s="23"/>
      <c r="N676" s="23"/>
      <c r="Q676" s="41"/>
      <c r="R676" s="25"/>
      <c r="S676" s="23"/>
      <c r="T676" s="23"/>
      <c r="U676" s="23"/>
      <c r="V676" s="23"/>
    </row>
    <row r="677" spans="3:22" x14ac:dyDescent="0.3">
      <c r="C677" s="51"/>
      <c r="G677" s="63"/>
      <c r="J677" s="39"/>
      <c r="K677" s="40"/>
      <c r="L677" s="40"/>
      <c r="M677" s="23"/>
      <c r="N677" s="23"/>
      <c r="Q677" s="41"/>
      <c r="R677" s="25"/>
      <c r="S677" s="23"/>
      <c r="T677" s="23"/>
      <c r="U677" s="23"/>
      <c r="V677" s="23"/>
    </row>
    <row r="678" spans="3:22" x14ac:dyDescent="0.3">
      <c r="C678" s="51"/>
      <c r="J678" s="39"/>
      <c r="K678" s="40"/>
      <c r="L678" s="40"/>
      <c r="M678" s="23"/>
      <c r="N678" s="23"/>
      <c r="Q678" s="41"/>
      <c r="R678" s="25"/>
      <c r="S678" s="23"/>
      <c r="T678" s="23"/>
      <c r="U678" s="23"/>
      <c r="V678" s="23"/>
    </row>
    <row r="679" spans="3:22" x14ac:dyDescent="0.3">
      <c r="C679" s="51"/>
      <c r="J679" s="39"/>
      <c r="K679" s="40"/>
      <c r="L679" s="40"/>
      <c r="M679" s="23"/>
      <c r="N679" s="23"/>
      <c r="Q679" s="41"/>
      <c r="R679" s="25"/>
      <c r="S679" s="23"/>
      <c r="T679" s="23"/>
      <c r="U679" s="23"/>
      <c r="V679" s="23"/>
    </row>
    <row r="680" spans="3:22" x14ac:dyDescent="0.3">
      <c r="C680" s="51"/>
      <c r="J680" s="39"/>
      <c r="K680" s="40"/>
      <c r="L680" s="40"/>
      <c r="M680" s="23"/>
      <c r="N680" s="23"/>
      <c r="Q680" s="41"/>
      <c r="R680" s="25"/>
      <c r="S680" s="23"/>
      <c r="T680" s="23"/>
      <c r="U680" s="23"/>
      <c r="V680" s="23"/>
    </row>
    <row r="681" spans="3:22" x14ac:dyDescent="0.3">
      <c r="C681" s="51"/>
      <c r="J681" s="39"/>
      <c r="K681" s="40"/>
      <c r="L681" s="40"/>
      <c r="M681" s="23"/>
      <c r="N681" s="23"/>
      <c r="Q681" s="41"/>
      <c r="R681" s="25"/>
      <c r="S681" s="23"/>
      <c r="T681" s="23"/>
      <c r="U681" s="23"/>
      <c r="V681" s="23"/>
    </row>
    <row r="682" spans="3:22" x14ac:dyDescent="0.3">
      <c r="C682" s="51"/>
      <c r="J682" s="39"/>
      <c r="K682" s="40"/>
      <c r="L682" s="40"/>
      <c r="M682" s="23"/>
      <c r="N682" s="23"/>
      <c r="Q682" s="41"/>
      <c r="R682" s="25"/>
      <c r="S682" s="23"/>
      <c r="T682" s="23"/>
      <c r="U682" s="23"/>
      <c r="V682" s="23"/>
    </row>
    <row r="683" spans="3:22" x14ac:dyDescent="0.3">
      <c r="C683" s="51"/>
      <c r="J683" s="39"/>
      <c r="K683" s="40"/>
      <c r="L683" s="40"/>
      <c r="M683" s="23"/>
      <c r="N683" s="23"/>
      <c r="Q683" s="41"/>
      <c r="R683" s="25"/>
      <c r="S683" s="23"/>
      <c r="T683" s="23"/>
      <c r="U683" s="23"/>
      <c r="V683" s="23"/>
    </row>
    <row r="684" spans="3:22" x14ac:dyDescent="0.3">
      <c r="C684" s="51"/>
      <c r="J684" s="39"/>
      <c r="K684" s="40"/>
      <c r="L684" s="40"/>
      <c r="M684" s="23"/>
      <c r="N684" s="23"/>
      <c r="P684" s="23"/>
      <c r="Q684" s="23"/>
      <c r="R684" s="25"/>
      <c r="S684" s="23"/>
      <c r="T684" s="23"/>
      <c r="U684" s="23"/>
      <c r="V684" s="23"/>
    </row>
    <row r="685" spans="3:22" x14ac:dyDescent="0.3">
      <c r="C685" s="51"/>
      <c r="J685" s="39"/>
      <c r="K685" s="40"/>
      <c r="L685" s="40"/>
      <c r="M685" s="23"/>
      <c r="N685" s="23"/>
      <c r="P685" s="23"/>
      <c r="Q685" s="23"/>
      <c r="R685" s="25"/>
      <c r="S685" s="23"/>
      <c r="T685" s="23"/>
      <c r="U685" s="23"/>
      <c r="V685" s="23"/>
    </row>
    <row r="686" spans="3:22" x14ac:dyDescent="0.3">
      <c r="C686" s="51"/>
      <c r="J686" s="39"/>
      <c r="K686" s="40"/>
      <c r="L686" s="40"/>
      <c r="M686" s="23"/>
      <c r="N686" s="23"/>
      <c r="P686" s="23"/>
      <c r="Q686" s="23"/>
      <c r="R686" s="25"/>
      <c r="S686" s="23"/>
      <c r="T686" s="23"/>
      <c r="U686" s="23"/>
      <c r="V686" s="23"/>
    </row>
    <row r="687" spans="3:22" x14ac:dyDescent="0.3">
      <c r="C687" s="51"/>
      <c r="J687" s="39"/>
      <c r="K687" s="40"/>
      <c r="L687" s="40"/>
      <c r="M687" s="23"/>
      <c r="N687" s="23"/>
      <c r="P687" s="23"/>
      <c r="Q687" s="23"/>
      <c r="R687" s="25"/>
      <c r="S687" s="23"/>
      <c r="T687" s="23"/>
      <c r="U687" s="23"/>
      <c r="V687" s="23"/>
    </row>
    <row r="688" spans="3:22" x14ac:dyDescent="0.3">
      <c r="C688" s="51"/>
      <c r="J688" s="39"/>
      <c r="K688" s="40"/>
      <c r="L688" s="40"/>
      <c r="M688" s="23"/>
      <c r="N688" s="23"/>
      <c r="P688" s="23"/>
      <c r="Q688" s="23"/>
      <c r="R688" s="25"/>
      <c r="S688" s="23"/>
      <c r="T688" s="23"/>
      <c r="U688" s="23"/>
      <c r="V688" s="23"/>
    </row>
    <row r="689" spans="3:22" x14ac:dyDescent="0.3">
      <c r="C689" s="51"/>
      <c r="J689" s="39"/>
      <c r="K689" s="40"/>
      <c r="L689" s="40"/>
      <c r="M689" s="23"/>
      <c r="N689" s="23"/>
      <c r="Q689" s="41"/>
      <c r="R689" s="25"/>
      <c r="S689" s="23"/>
      <c r="T689" s="23"/>
      <c r="U689" s="23"/>
      <c r="V689" s="23"/>
    </row>
    <row r="690" spans="3:22" x14ac:dyDescent="0.3">
      <c r="C690" s="51"/>
      <c r="J690" s="39"/>
      <c r="K690" s="40"/>
      <c r="L690" s="40"/>
      <c r="M690" s="23"/>
      <c r="N690" s="23"/>
      <c r="P690" s="23"/>
      <c r="Q690" s="23"/>
      <c r="R690" s="25"/>
      <c r="S690" s="23"/>
      <c r="T690" s="23"/>
      <c r="U690" s="23"/>
      <c r="V690" s="23"/>
    </row>
    <row r="691" spans="3:22" x14ac:dyDescent="0.3">
      <c r="C691" s="51"/>
      <c r="J691" s="39"/>
      <c r="K691" s="40"/>
      <c r="L691" s="40"/>
      <c r="M691" s="23"/>
      <c r="N691" s="23"/>
      <c r="P691" s="23"/>
      <c r="Q691" s="23"/>
      <c r="R691" s="25"/>
      <c r="S691" s="23"/>
      <c r="T691" s="23"/>
      <c r="U691" s="23"/>
      <c r="V691" s="23"/>
    </row>
    <row r="692" spans="3:22" x14ac:dyDescent="0.3">
      <c r="C692" s="51"/>
      <c r="J692" s="39"/>
      <c r="K692" s="40"/>
      <c r="L692" s="40"/>
      <c r="M692" s="23"/>
      <c r="N692" s="23"/>
      <c r="P692" s="23"/>
      <c r="Q692" s="23"/>
      <c r="R692" s="25"/>
      <c r="S692" s="23"/>
      <c r="T692" s="23"/>
      <c r="U692" s="23"/>
      <c r="V692" s="23"/>
    </row>
    <row r="693" spans="3:22" x14ac:dyDescent="0.3">
      <c r="C693" s="51"/>
      <c r="J693" s="39"/>
      <c r="K693" s="40"/>
      <c r="L693" s="40"/>
      <c r="M693" s="23"/>
      <c r="N693" s="23"/>
      <c r="P693" s="23"/>
      <c r="Q693" s="23"/>
      <c r="R693" s="25"/>
      <c r="S693" s="23"/>
      <c r="T693" s="23"/>
      <c r="U693" s="23"/>
      <c r="V693" s="23"/>
    </row>
    <row r="694" spans="3:22" x14ac:dyDescent="0.3">
      <c r="C694" s="51"/>
      <c r="J694" s="39"/>
      <c r="K694" s="40"/>
      <c r="L694" s="40"/>
      <c r="M694" s="23"/>
      <c r="N694" s="23"/>
      <c r="P694" s="23"/>
      <c r="Q694" s="23"/>
      <c r="R694" s="25"/>
      <c r="S694" s="23"/>
      <c r="T694" s="23"/>
      <c r="U694" s="23"/>
      <c r="V694" s="23"/>
    </row>
    <row r="695" spans="3:22" x14ac:dyDescent="0.3">
      <c r="C695" s="51"/>
      <c r="J695" s="39"/>
      <c r="K695" s="40"/>
      <c r="L695" s="40"/>
      <c r="M695" s="23"/>
      <c r="N695" s="23"/>
      <c r="P695" s="23"/>
      <c r="Q695" s="23"/>
      <c r="R695" s="25"/>
      <c r="S695" s="23"/>
      <c r="T695" s="23"/>
      <c r="U695" s="23"/>
      <c r="V695" s="23"/>
    </row>
    <row r="696" spans="3:22" x14ac:dyDescent="0.3">
      <c r="C696" s="51"/>
      <c r="J696" s="39"/>
      <c r="K696" s="40"/>
      <c r="L696" s="40"/>
      <c r="M696" s="23"/>
      <c r="N696" s="23"/>
      <c r="P696" s="23"/>
      <c r="Q696" s="23"/>
      <c r="R696" s="25"/>
      <c r="S696" s="23"/>
      <c r="T696" s="23"/>
      <c r="U696" s="23"/>
      <c r="V696" s="23"/>
    </row>
    <row r="697" spans="3:22" x14ac:dyDescent="0.3">
      <c r="C697" s="51"/>
      <c r="J697" s="39"/>
      <c r="M697" s="23"/>
      <c r="N697" s="23"/>
      <c r="Q697" s="41"/>
      <c r="R697" s="25"/>
      <c r="S697" s="23"/>
      <c r="T697" s="23"/>
      <c r="U697" s="23"/>
      <c r="V697" s="23"/>
    </row>
    <row r="698" spans="3:22" x14ac:dyDescent="0.3">
      <c r="C698" s="51"/>
      <c r="M698" s="23"/>
      <c r="N698" s="23"/>
      <c r="Q698" s="41"/>
      <c r="R698" s="25"/>
      <c r="S698" s="23"/>
      <c r="T698" s="23"/>
      <c r="U698" s="23"/>
      <c r="V698" s="23"/>
    </row>
    <row r="699" spans="3:22" x14ac:dyDescent="0.3">
      <c r="C699" s="51"/>
      <c r="M699" s="23"/>
      <c r="N699" s="23"/>
      <c r="Q699" s="41"/>
      <c r="R699" s="25"/>
      <c r="S699" s="23"/>
      <c r="T699" s="23"/>
      <c r="U699" s="23"/>
      <c r="V699" s="23"/>
    </row>
    <row r="700" spans="3:22" x14ac:dyDescent="0.3">
      <c r="C700" s="51"/>
      <c r="K700" s="40"/>
      <c r="L700" s="40"/>
      <c r="M700" s="23"/>
      <c r="N700" s="23"/>
      <c r="Q700" s="41"/>
      <c r="R700" s="25"/>
      <c r="S700" s="23"/>
      <c r="T700" s="23"/>
      <c r="U700" s="23"/>
      <c r="V700" s="23"/>
    </row>
    <row r="701" spans="3:22" x14ac:dyDescent="0.3">
      <c r="C701" s="51"/>
      <c r="K701" s="40"/>
      <c r="L701" s="40"/>
      <c r="M701" s="23"/>
      <c r="N701" s="23"/>
      <c r="Q701" s="41"/>
      <c r="R701" s="25"/>
      <c r="S701" s="23"/>
      <c r="T701" s="23"/>
      <c r="U701" s="23"/>
      <c r="V701" s="23"/>
    </row>
    <row r="702" spans="3:22" x14ac:dyDescent="0.3">
      <c r="C702" s="51"/>
      <c r="J702" s="39"/>
      <c r="K702" s="40"/>
      <c r="L702" s="40"/>
      <c r="M702" s="23"/>
      <c r="N702" s="23"/>
      <c r="Q702" s="41"/>
      <c r="R702" s="25"/>
      <c r="S702" s="23"/>
      <c r="T702" s="23"/>
      <c r="U702" s="23"/>
      <c r="V702" s="23"/>
    </row>
    <row r="703" spans="3:22" x14ac:dyDescent="0.3">
      <c r="C703" s="51"/>
      <c r="J703" s="39"/>
      <c r="K703" s="40"/>
      <c r="L703" s="40"/>
      <c r="M703" s="23"/>
      <c r="N703" s="23"/>
      <c r="Q703" s="41"/>
      <c r="R703" s="25"/>
      <c r="S703" s="23"/>
      <c r="T703" s="23"/>
      <c r="U703" s="23"/>
      <c r="V703" s="23"/>
    </row>
    <row r="704" spans="3:22" x14ac:dyDescent="0.3">
      <c r="C704" s="51"/>
      <c r="J704" s="39"/>
      <c r="K704" s="40"/>
      <c r="L704" s="40"/>
      <c r="M704" s="23"/>
      <c r="N704" s="23"/>
      <c r="Q704" s="41"/>
      <c r="R704" s="25"/>
      <c r="S704" s="23"/>
      <c r="T704" s="23"/>
      <c r="U704" s="23"/>
      <c r="V704" s="23"/>
    </row>
    <row r="705" spans="3:22" x14ac:dyDescent="0.3">
      <c r="C705" s="51"/>
      <c r="J705" s="39"/>
      <c r="K705" s="40"/>
      <c r="L705" s="40"/>
      <c r="M705" s="23"/>
      <c r="N705" s="23"/>
      <c r="Q705" s="41"/>
      <c r="R705" s="25"/>
      <c r="S705" s="23"/>
      <c r="T705" s="23"/>
      <c r="U705" s="23"/>
      <c r="V705" s="23"/>
    </row>
    <row r="706" spans="3:22" x14ac:dyDescent="0.3">
      <c r="C706" s="51"/>
      <c r="J706" s="39"/>
      <c r="K706" s="40"/>
      <c r="L706" s="40"/>
      <c r="M706" s="23"/>
      <c r="N706" s="23"/>
      <c r="Q706" s="41"/>
      <c r="R706" s="25"/>
      <c r="S706" s="23"/>
      <c r="T706" s="23"/>
      <c r="U706" s="23"/>
      <c r="V706" s="23"/>
    </row>
    <row r="707" spans="3:22" x14ac:dyDescent="0.3">
      <c r="C707" s="51"/>
      <c r="J707" s="39"/>
      <c r="K707" s="40"/>
      <c r="L707" s="40"/>
      <c r="M707" s="23"/>
      <c r="N707" s="23"/>
      <c r="Q707" s="41"/>
      <c r="R707" s="25"/>
      <c r="S707" s="23"/>
      <c r="T707" s="23"/>
      <c r="U707" s="23"/>
      <c r="V707" s="23"/>
    </row>
    <row r="708" spans="3:22" x14ac:dyDescent="0.3">
      <c r="C708" s="51"/>
      <c r="J708" s="39"/>
      <c r="K708" s="40"/>
      <c r="L708" s="40"/>
      <c r="M708" s="23"/>
      <c r="N708" s="23"/>
      <c r="Q708" s="41"/>
      <c r="R708" s="25"/>
      <c r="S708" s="23"/>
      <c r="T708" s="23"/>
      <c r="U708" s="23"/>
      <c r="V708" s="23"/>
    </row>
    <row r="709" spans="3:22" x14ac:dyDescent="0.3">
      <c r="C709" s="51"/>
      <c r="J709" s="39"/>
      <c r="K709" s="40"/>
      <c r="L709" s="40"/>
      <c r="M709" s="23"/>
      <c r="N709" s="23"/>
      <c r="Q709" s="41"/>
      <c r="R709" s="25"/>
      <c r="S709" s="23"/>
      <c r="T709" s="23"/>
      <c r="U709" s="23"/>
      <c r="V709" s="23"/>
    </row>
    <row r="710" spans="3:22" x14ac:dyDescent="0.3">
      <c r="C710" s="51"/>
      <c r="K710" s="40"/>
      <c r="L710" s="40"/>
      <c r="M710" s="23"/>
      <c r="N710" s="23"/>
      <c r="Q710" s="41"/>
      <c r="R710" s="25"/>
      <c r="S710" s="23"/>
      <c r="T710" s="23"/>
      <c r="U710" s="23"/>
      <c r="V710" s="23"/>
    </row>
    <row r="711" spans="3:22" x14ac:dyDescent="0.3">
      <c r="C711" s="51"/>
      <c r="K711" s="40"/>
      <c r="L711" s="40"/>
      <c r="M711" s="23"/>
      <c r="N711" s="23"/>
      <c r="Q711" s="41"/>
      <c r="R711" s="25"/>
      <c r="S711" s="23"/>
      <c r="T711" s="23"/>
      <c r="U711" s="23"/>
      <c r="V711" s="23"/>
    </row>
    <row r="712" spans="3:22" x14ac:dyDescent="0.3">
      <c r="C712" s="51"/>
      <c r="K712" s="40"/>
      <c r="L712" s="40"/>
      <c r="M712" s="23"/>
      <c r="N712" s="23"/>
      <c r="Q712" s="41"/>
      <c r="R712" s="25"/>
      <c r="S712" s="23"/>
      <c r="T712" s="23"/>
      <c r="U712" s="23"/>
      <c r="V712" s="23"/>
    </row>
    <row r="713" spans="3:22" x14ac:dyDescent="0.3">
      <c r="C713" s="51"/>
      <c r="K713" s="40"/>
      <c r="L713" s="40"/>
      <c r="M713" s="23"/>
      <c r="N713" s="23"/>
      <c r="Q713" s="41"/>
      <c r="R713" s="25"/>
      <c r="S713" s="23"/>
      <c r="T713" s="23"/>
      <c r="U713" s="23"/>
      <c r="V713" s="23"/>
    </row>
    <row r="714" spans="3:22" x14ac:dyDescent="0.3">
      <c r="C714" s="51"/>
      <c r="K714" s="40"/>
      <c r="L714" s="40"/>
      <c r="M714" s="23"/>
      <c r="N714" s="23"/>
      <c r="Q714" s="41"/>
      <c r="R714" s="25"/>
      <c r="S714" s="23"/>
      <c r="T714" s="23"/>
      <c r="U714" s="23"/>
      <c r="V714" s="23"/>
    </row>
    <row r="715" spans="3:22" x14ac:dyDescent="0.3">
      <c r="C715" s="51"/>
      <c r="K715" s="40"/>
      <c r="L715" s="40"/>
      <c r="M715" s="23"/>
      <c r="N715" s="23"/>
      <c r="Q715" s="41"/>
      <c r="R715" s="25"/>
      <c r="S715" s="23"/>
      <c r="T715" s="23"/>
      <c r="U715" s="23"/>
      <c r="V715" s="23"/>
    </row>
    <row r="716" spans="3:22" x14ac:dyDescent="0.3">
      <c r="C716" s="51"/>
      <c r="M716" s="23"/>
      <c r="N716" s="23"/>
      <c r="Q716" s="41"/>
      <c r="R716" s="25"/>
      <c r="S716" s="23"/>
      <c r="T716" s="23"/>
      <c r="U716" s="23"/>
      <c r="V716" s="23"/>
    </row>
    <row r="717" spans="3:22" x14ac:dyDescent="0.3">
      <c r="C717" s="51"/>
      <c r="M717" s="23"/>
      <c r="N717" s="23"/>
      <c r="Q717" s="41"/>
      <c r="R717" s="25"/>
      <c r="S717" s="23"/>
      <c r="T717" s="23"/>
      <c r="U717" s="23"/>
      <c r="V717" s="23"/>
    </row>
    <row r="718" spans="3:22" x14ac:dyDescent="0.3">
      <c r="C718" s="51"/>
      <c r="M718" s="23"/>
      <c r="N718" s="23"/>
      <c r="Q718" s="41"/>
      <c r="R718" s="25"/>
      <c r="S718" s="23"/>
      <c r="T718" s="23"/>
      <c r="U718" s="23"/>
      <c r="V718" s="23"/>
    </row>
    <row r="719" spans="3:22" x14ac:dyDescent="0.3">
      <c r="C719" s="51"/>
      <c r="M719" s="23"/>
      <c r="N719" s="23"/>
      <c r="Q719" s="41"/>
      <c r="R719" s="25"/>
      <c r="S719" s="23"/>
      <c r="T719" s="23"/>
      <c r="U719" s="23"/>
      <c r="V719" s="23"/>
    </row>
    <row r="720" spans="3:22" x14ac:dyDescent="0.3">
      <c r="C720" s="51"/>
      <c r="K720" s="40"/>
      <c r="L720" s="40"/>
      <c r="M720" s="23"/>
      <c r="N720" s="23"/>
      <c r="Q720" s="41"/>
      <c r="R720" s="25"/>
      <c r="S720" s="23"/>
      <c r="T720" s="23"/>
      <c r="U720" s="23"/>
      <c r="V720" s="23"/>
    </row>
    <row r="721" spans="3:22" x14ac:dyDescent="0.3">
      <c r="C721" s="51"/>
      <c r="K721" s="40"/>
      <c r="L721" s="40"/>
      <c r="M721" s="23"/>
      <c r="N721" s="23"/>
      <c r="Q721" s="41"/>
      <c r="R721" s="25"/>
      <c r="S721" s="23"/>
      <c r="T721" s="23"/>
      <c r="U721" s="23"/>
      <c r="V721" s="23"/>
    </row>
    <row r="722" spans="3:22" x14ac:dyDescent="0.3">
      <c r="C722" s="51"/>
      <c r="K722" s="40"/>
      <c r="L722" s="40"/>
      <c r="M722" s="23"/>
      <c r="N722" s="23"/>
      <c r="Q722" s="41"/>
      <c r="R722" s="25"/>
      <c r="S722" s="23"/>
      <c r="T722" s="23"/>
      <c r="U722" s="23"/>
      <c r="V722" s="23"/>
    </row>
    <row r="723" spans="3:22" x14ac:dyDescent="0.3">
      <c r="C723" s="51"/>
      <c r="K723" s="40"/>
      <c r="L723" s="40"/>
      <c r="M723" s="23"/>
      <c r="N723" s="23"/>
      <c r="Q723" s="41"/>
      <c r="R723" s="25"/>
      <c r="S723" s="23"/>
      <c r="T723" s="23"/>
      <c r="U723" s="23"/>
      <c r="V723" s="23"/>
    </row>
    <row r="724" spans="3:22" x14ac:dyDescent="0.3">
      <c r="C724" s="51"/>
      <c r="K724" s="40"/>
      <c r="L724" s="40"/>
      <c r="M724" s="23"/>
      <c r="N724" s="23"/>
      <c r="Q724" s="41"/>
      <c r="R724" s="25"/>
      <c r="S724" s="23"/>
      <c r="T724" s="23"/>
      <c r="U724" s="23"/>
      <c r="V724" s="23"/>
    </row>
    <row r="725" spans="3:22" x14ac:dyDescent="0.3">
      <c r="C725" s="51"/>
      <c r="K725" s="40"/>
      <c r="L725" s="40"/>
      <c r="M725" s="23"/>
      <c r="N725" s="23"/>
      <c r="Q725" s="41"/>
      <c r="R725" s="25"/>
      <c r="S725" s="23"/>
      <c r="T725" s="23"/>
      <c r="U725" s="23"/>
      <c r="V725" s="23"/>
    </row>
    <row r="726" spans="3:22" x14ac:dyDescent="0.3">
      <c r="C726" s="51"/>
      <c r="K726" s="40"/>
      <c r="L726" s="40"/>
      <c r="M726" s="23"/>
      <c r="N726" s="23"/>
      <c r="Q726" s="41"/>
      <c r="R726" s="25"/>
      <c r="S726" s="23"/>
      <c r="T726" s="23"/>
      <c r="U726" s="23"/>
      <c r="V726" s="23"/>
    </row>
    <row r="727" spans="3:22" x14ac:dyDescent="0.3">
      <c r="C727" s="51"/>
      <c r="K727" s="40"/>
      <c r="L727" s="40"/>
      <c r="M727" s="23"/>
      <c r="N727" s="23"/>
      <c r="Q727" s="41"/>
      <c r="R727" s="25"/>
      <c r="S727" s="23"/>
      <c r="T727" s="23"/>
      <c r="U727" s="23"/>
      <c r="V727" s="23"/>
    </row>
    <row r="728" spans="3:22" x14ac:dyDescent="0.3">
      <c r="C728" s="51"/>
      <c r="K728" s="40"/>
      <c r="L728" s="40"/>
      <c r="M728" s="23"/>
      <c r="N728" s="23"/>
      <c r="Q728" s="41"/>
      <c r="R728" s="25"/>
      <c r="S728" s="23"/>
      <c r="T728" s="23"/>
      <c r="U728" s="23"/>
      <c r="V728" s="23"/>
    </row>
    <row r="729" spans="3:22" x14ac:dyDescent="0.3">
      <c r="C729" s="51"/>
      <c r="K729" s="40"/>
      <c r="L729" s="40"/>
      <c r="M729" s="23"/>
      <c r="N729" s="23"/>
      <c r="Q729" s="41"/>
      <c r="R729" s="25"/>
      <c r="S729" s="23"/>
      <c r="T729" s="23"/>
      <c r="U729" s="23"/>
      <c r="V729" s="23"/>
    </row>
    <row r="730" spans="3:22" x14ac:dyDescent="0.3">
      <c r="C730" s="51"/>
      <c r="K730" s="40"/>
      <c r="L730" s="40"/>
      <c r="M730" s="23"/>
      <c r="N730" s="23"/>
      <c r="Q730" s="41"/>
      <c r="R730" s="25"/>
      <c r="S730" s="23"/>
      <c r="T730" s="23"/>
      <c r="U730" s="23"/>
      <c r="V730" s="23"/>
    </row>
    <row r="731" spans="3:22" x14ac:dyDescent="0.3">
      <c r="C731" s="51"/>
      <c r="K731" s="40"/>
      <c r="L731" s="40"/>
      <c r="M731" s="23"/>
      <c r="N731" s="23"/>
      <c r="Q731" s="41"/>
      <c r="R731" s="25"/>
      <c r="S731" s="23"/>
      <c r="T731" s="23"/>
      <c r="U731" s="23"/>
      <c r="V731" s="23"/>
    </row>
    <row r="732" spans="3:22" x14ac:dyDescent="0.3">
      <c r="C732" s="51"/>
      <c r="K732" s="40"/>
      <c r="L732" s="40"/>
      <c r="M732" s="23"/>
      <c r="N732" s="23"/>
      <c r="Q732" s="41"/>
      <c r="R732" s="25"/>
      <c r="S732" s="23"/>
      <c r="T732" s="23"/>
      <c r="U732" s="23"/>
      <c r="V732" s="23"/>
    </row>
    <row r="733" spans="3:22" x14ac:dyDescent="0.3">
      <c r="C733" s="51"/>
      <c r="K733" s="40"/>
      <c r="L733" s="40"/>
      <c r="M733" s="23"/>
      <c r="N733" s="23"/>
      <c r="Q733" s="41"/>
      <c r="R733" s="25"/>
      <c r="S733" s="23"/>
      <c r="T733" s="23"/>
      <c r="U733" s="23"/>
      <c r="V733" s="23"/>
    </row>
    <row r="734" spans="3:22" x14ac:dyDescent="0.3">
      <c r="C734" s="51"/>
      <c r="K734" s="40"/>
      <c r="L734" s="40"/>
      <c r="M734" s="23"/>
      <c r="N734" s="23"/>
      <c r="Q734" s="41"/>
      <c r="R734" s="25"/>
      <c r="S734" s="23"/>
      <c r="T734" s="23"/>
      <c r="U734" s="23"/>
      <c r="V734" s="23"/>
    </row>
    <row r="735" spans="3:22" x14ac:dyDescent="0.3">
      <c r="C735" s="51"/>
      <c r="K735" s="40"/>
      <c r="L735" s="40"/>
      <c r="M735" s="23"/>
      <c r="N735" s="23"/>
      <c r="Q735" s="41"/>
      <c r="R735" s="25"/>
      <c r="S735" s="23"/>
      <c r="T735" s="23"/>
      <c r="U735" s="23"/>
      <c r="V735" s="23"/>
    </row>
    <row r="736" spans="3:22" x14ac:dyDescent="0.3">
      <c r="C736" s="51"/>
      <c r="M736" s="23"/>
      <c r="N736" s="23"/>
      <c r="Q736" s="41"/>
      <c r="R736" s="25"/>
      <c r="S736" s="23"/>
      <c r="T736" s="23"/>
      <c r="U736" s="23"/>
      <c r="V736" s="23"/>
    </row>
    <row r="737" spans="3:22" x14ac:dyDescent="0.3">
      <c r="C737" s="51"/>
      <c r="M737" s="23"/>
      <c r="N737" s="23"/>
      <c r="Q737" s="41"/>
      <c r="R737" s="25"/>
      <c r="S737" s="23"/>
      <c r="T737" s="23"/>
      <c r="U737" s="23"/>
      <c r="V737" s="23"/>
    </row>
    <row r="738" spans="3:22" x14ac:dyDescent="0.3">
      <c r="C738" s="51"/>
      <c r="M738" s="23"/>
      <c r="N738" s="23"/>
      <c r="Q738" s="41"/>
      <c r="R738" s="25"/>
      <c r="S738" s="23"/>
      <c r="T738" s="23"/>
      <c r="U738" s="23"/>
      <c r="V738" s="23"/>
    </row>
    <row r="739" spans="3:22" x14ac:dyDescent="0.3">
      <c r="C739" s="51"/>
      <c r="M739" s="23"/>
      <c r="N739" s="23"/>
      <c r="Q739" s="41"/>
      <c r="U739" s="47"/>
    </row>
    <row r="740" spans="3:22" x14ac:dyDescent="0.3">
      <c r="C740" s="51"/>
      <c r="M740" s="23"/>
      <c r="N740" s="23"/>
      <c r="U740" s="47"/>
    </row>
    <row r="741" spans="3:22" x14ac:dyDescent="0.3">
      <c r="C741" s="51"/>
      <c r="M741" s="23"/>
      <c r="N741" s="23"/>
      <c r="U741" s="47"/>
    </row>
    <row r="742" spans="3:22" x14ac:dyDescent="0.3">
      <c r="C742" s="51"/>
      <c r="M742" s="23"/>
      <c r="N742" s="23"/>
      <c r="U742" s="47"/>
    </row>
    <row r="743" spans="3:22" x14ac:dyDescent="0.3">
      <c r="C743" s="51"/>
      <c r="M743" s="23"/>
      <c r="N743" s="23"/>
      <c r="U743" s="47"/>
    </row>
    <row r="744" spans="3:22" x14ac:dyDescent="0.3">
      <c r="C744" s="51"/>
      <c r="M744" s="23"/>
      <c r="N744" s="23"/>
      <c r="U744" s="47"/>
    </row>
    <row r="745" spans="3:22" x14ac:dyDescent="0.3">
      <c r="C745" s="51"/>
      <c r="M745" s="23"/>
      <c r="N745" s="23"/>
      <c r="U745" s="47"/>
    </row>
    <row r="746" spans="3:22" x14ac:dyDescent="0.3">
      <c r="C746" s="51"/>
      <c r="M746" s="23"/>
      <c r="N746" s="23"/>
      <c r="U746" s="47"/>
    </row>
    <row r="747" spans="3:22" x14ac:dyDescent="0.3">
      <c r="C747" s="51"/>
      <c r="M747" s="23"/>
      <c r="N747" s="23"/>
      <c r="U747" s="47"/>
    </row>
    <row r="748" spans="3:22" x14ac:dyDescent="0.3">
      <c r="C748" s="51"/>
      <c r="M748" s="23"/>
      <c r="N748" s="23"/>
      <c r="U748" s="47"/>
    </row>
    <row r="749" spans="3:22" x14ac:dyDescent="0.3">
      <c r="C749" s="51"/>
      <c r="M749" s="23"/>
      <c r="N749" s="23"/>
      <c r="U749" s="47"/>
    </row>
    <row r="750" spans="3:22" x14ac:dyDescent="0.3">
      <c r="C750" s="51"/>
      <c r="M750" s="23"/>
      <c r="N750" s="23"/>
      <c r="U750" s="47"/>
    </row>
    <row r="751" spans="3:22" x14ac:dyDescent="0.3">
      <c r="C751" s="51"/>
      <c r="M751" s="23"/>
      <c r="N751" s="23"/>
      <c r="U751" s="47"/>
    </row>
    <row r="752" spans="3:22" x14ac:dyDescent="0.3">
      <c r="C752" s="51"/>
      <c r="M752" s="23"/>
      <c r="N752" s="23"/>
      <c r="U752" s="47"/>
    </row>
    <row r="753" spans="3:21" x14ac:dyDescent="0.3">
      <c r="C753" s="51"/>
      <c r="M753" s="23"/>
      <c r="N753" s="23"/>
      <c r="U753" s="47"/>
    </row>
    <row r="754" spans="3:21" x14ac:dyDescent="0.3">
      <c r="C754" s="51"/>
      <c r="M754" s="23"/>
      <c r="N754" s="23"/>
      <c r="U754" s="47"/>
    </row>
    <row r="755" spans="3:21" x14ac:dyDescent="0.3">
      <c r="C755" s="51"/>
      <c r="M755" s="23"/>
      <c r="N755" s="23"/>
      <c r="U755" s="47"/>
    </row>
    <row r="756" spans="3:21" x14ac:dyDescent="0.3">
      <c r="C756" s="51"/>
      <c r="M756" s="23"/>
      <c r="N756" s="23"/>
      <c r="U756" s="47"/>
    </row>
    <row r="757" spans="3:21" x14ac:dyDescent="0.3">
      <c r="C757" s="51"/>
      <c r="M757" s="23"/>
      <c r="N757" s="23"/>
      <c r="U757" s="47"/>
    </row>
    <row r="758" spans="3:21" x14ac:dyDescent="0.3">
      <c r="C758" s="51"/>
      <c r="M758" s="23"/>
      <c r="N758" s="23"/>
      <c r="U758" s="47"/>
    </row>
    <row r="759" spans="3:21" x14ac:dyDescent="0.3">
      <c r="C759" s="51"/>
      <c r="M759" s="23"/>
      <c r="N759" s="23"/>
      <c r="U759" s="47"/>
    </row>
    <row r="760" spans="3:21" x14ac:dyDescent="0.3">
      <c r="C760" s="51"/>
      <c r="M760" s="23"/>
      <c r="N760" s="23"/>
      <c r="U760" s="47"/>
    </row>
    <row r="761" spans="3:21" x14ac:dyDescent="0.3">
      <c r="C761" s="51"/>
      <c r="M761" s="23"/>
      <c r="U761" s="47"/>
    </row>
    <row r="762" spans="3:21" x14ac:dyDescent="0.3">
      <c r="C762" s="51"/>
      <c r="M762" s="23"/>
      <c r="U762" s="47"/>
    </row>
    <row r="763" spans="3:21" x14ac:dyDescent="0.3">
      <c r="C763" s="51"/>
      <c r="M763" s="23"/>
      <c r="N763" s="23"/>
      <c r="U763" s="47"/>
    </row>
    <row r="764" spans="3:21" x14ac:dyDescent="0.3">
      <c r="C764" s="51"/>
      <c r="M764" s="23"/>
      <c r="N764" s="23"/>
      <c r="U764" s="47"/>
    </row>
    <row r="765" spans="3:21" x14ac:dyDescent="0.3">
      <c r="C765" s="51"/>
      <c r="M765" s="23"/>
      <c r="N765" s="23"/>
      <c r="U765" s="47"/>
    </row>
    <row r="766" spans="3:21" x14ac:dyDescent="0.3">
      <c r="C766" s="51"/>
      <c r="M766" s="23"/>
      <c r="N766" s="23"/>
      <c r="U766" s="47"/>
    </row>
    <row r="767" spans="3:21" x14ac:dyDescent="0.3">
      <c r="C767" s="51"/>
      <c r="M767" s="23"/>
      <c r="N767" s="23"/>
      <c r="U767" s="47"/>
    </row>
    <row r="768" spans="3:21" x14ac:dyDescent="0.3">
      <c r="C768" s="51"/>
      <c r="M768" s="23"/>
      <c r="N768" s="23"/>
      <c r="U768" s="47"/>
    </row>
    <row r="769" spans="3:21" x14ac:dyDescent="0.3">
      <c r="C769" s="51"/>
      <c r="M769" s="23"/>
      <c r="N769" s="23"/>
      <c r="U769" s="47"/>
    </row>
    <row r="770" spans="3:21" x14ac:dyDescent="0.3">
      <c r="C770" s="51"/>
      <c r="M770" s="23"/>
      <c r="N770" s="23"/>
      <c r="U770" s="47"/>
    </row>
    <row r="771" spans="3:21" x14ac:dyDescent="0.3">
      <c r="C771" s="51"/>
      <c r="M771" s="23"/>
      <c r="N771" s="23"/>
      <c r="U771" s="47"/>
    </row>
    <row r="772" spans="3:21" x14ac:dyDescent="0.3">
      <c r="C772" s="51"/>
      <c r="M772" s="23"/>
      <c r="N772" s="23"/>
      <c r="U772" s="47"/>
    </row>
    <row r="773" spans="3:21" x14ac:dyDescent="0.3">
      <c r="C773" s="51"/>
      <c r="M773" s="23"/>
      <c r="N773" s="23"/>
      <c r="U773" s="47"/>
    </row>
    <row r="774" spans="3:21" x14ac:dyDescent="0.3">
      <c r="C774" s="51"/>
      <c r="M774" s="23"/>
      <c r="N774" s="23"/>
      <c r="U774" s="47"/>
    </row>
    <row r="775" spans="3:21" x14ac:dyDescent="0.3">
      <c r="C775" s="51"/>
      <c r="M775" s="23"/>
      <c r="N775" s="23"/>
      <c r="U775" s="47"/>
    </row>
    <row r="776" spans="3:21" x14ac:dyDescent="0.3">
      <c r="C776" s="51"/>
      <c r="M776" s="23"/>
      <c r="N776" s="23"/>
      <c r="U776" s="47"/>
    </row>
    <row r="777" spans="3:21" x14ac:dyDescent="0.3">
      <c r="C777" s="51"/>
      <c r="M777" s="23"/>
      <c r="N777" s="23"/>
      <c r="U777" s="47"/>
    </row>
    <row r="778" spans="3:21" x14ac:dyDescent="0.3">
      <c r="C778" s="51"/>
      <c r="M778" s="23"/>
      <c r="N778" s="23"/>
      <c r="U778" s="47"/>
    </row>
    <row r="779" spans="3:21" x14ac:dyDescent="0.3">
      <c r="C779" s="51"/>
      <c r="M779" s="23"/>
      <c r="N779" s="23"/>
      <c r="U779" s="47"/>
    </row>
    <row r="780" spans="3:21" x14ac:dyDescent="0.3">
      <c r="C780" s="51"/>
      <c r="M780" s="23"/>
      <c r="N780" s="23"/>
      <c r="U780" s="47"/>
    </row>
    <row r="781" spans="3:21" x14ac:dyDescent="0.3">
      <c r="C781" s="51"/>
      <c r="M781" s="23"/>
      <c r="N781" s="23"/>
      <c r="U781" s="47"/>
    </row>
    <row r="782" spans="3:21" x14ac:dyDescent="0.3">
      <c r="C782" s="51"/>
      <c r="M782" s="23"/>
      <c r="N782" s="23"/>
      <c r="U782" s="47"/>
    </row>
    <row r="783" spans="3:21" x14ac:dyDescent="0.3">
      <c r="C783" s="51"/>
      <c r="M783" s="23"/>
      <c r="N783" s="23"/>
      <c r="U783" s="47"/>
    </row>
    <row r="784" spans="3:21" x14ac:dyDescent="0.3">
      <c r="C784" s="51"/>
      <c r="M784" s="23"/>
      <c r="N784" s="23"/>
      <c r="U784" s="47"/>
    </row>
    <row r="785" spans="3:21" x14ac:dyDescent="0.3">
      <c r="C785" s="51"/>
      <c r="M785" s="23"/>
      <c r="N785" s="23"/>
      <c r="U785" s="47"/>
    </row>
    <row r="786" spans="3:21" x14ac:dyDescent="0.3">
      <c r="C786" s="51"/>
      <c r="M786" s="23"/>
      <c r="N786" s="23"/>
      <c r="U786" s="47"/>
    </row>
    <row r="787" spans="3:21" x14ac:dyDescent="0.3">
      <c r="C787" s="51"/>
      <c r="M787" s="23"/>
      <c r="N787" s="23"/>
      <c r="U787" s="47"/>
    </row>
    <row r="788" spans="3:21" x14ac:dyDescent="0.3">
      <c r="C788" s="51"/>
      <c r="M788" s="23"/>
      <c r="N788" s="23"/>
      <c r="U788" s="47"/>
    </row>
    <row r="789" spans="3:21" x14ac:dyDescent="0.3">
      <c r="C789" s="51"/>
      <c r="M789" s="23"/>
      <c r="N789" s="23"/>
      <c r="U789" s="47"/>
    </row>
    <row r="790" spans="3:21" x14ac:dyDescent="0.3">
      <c r="C790" s="51"/>
      <c r="M790" s="23"/>
      <c r="N790" s="23"/>
      <c r="U790" s="47"/>
    </row>
    <row r="791" spans="3:21" x14ac:dyDescent="0.3">
      <c r="C791" s="51"/>
      <c r="M791" s="23"/>
      <c r="N791" s="23"/>
      <c r="U791" s="47"/>
    </row>
    <row r="792" spans="3:21" x14ac:dyDescent="0.3">
      <c r="C792" s="51"/>
      <c r="M792" s="23"/>
      <c r="N792" s="23"/>
      <c r="U792" s="47"/>
    </row>
    <row r="793" spans="3:21" x14ac:dyDescent="0.3">
      <c r="C793" s="51"/>
      <c r="M793" s="23"/>
      <c r="N793" s="23"/>
      <c r="U793" s="47"/>
    </row>
    <row r="794" spans="3:21" x14ac:dyDescent="0.3">
      <c r="C794" s="51"/>
      <c r="M794" s="23"/>
      <c r="N794" s="23"/>
      <c r="U794" s="47"/>
    </row>
    <row r="795" spans="3:21" x14ac:dyDescent="0.3">
      <c r="C795" s="51"/>
      <c r="M795" s="23"/>
      <c r="N795" s="23"/>
      <c r="U795" s="47"/>
    </row>
    <row r="796" spans="3:21" x14ac:dyDescent="0.3">
      <c r="C796" s="51"/>
      <c r="M796" s="23"/>
      <c r="N796" s="23"/>
      <c r="U796" s="47"/>
    </row>
    <row r="797" spans="3:21" x14ac:dyDescent="0.3">
      <c r="C797" s="51"/>
      <c r="M797" s="23"/>
      <c r="N797" s="23"/>
      <c r="U797" s="47"/>
    </row>
    <row r="798" spans="3:21" x14ac:dyDescent="0.3">
      <c r="C798" s="51"/>
      <c r="M798" s="23"/>
      <c r="N798" s="23"/>
      <c r="U798" s="47"/>
    </row>
    <row r="799" spans="3:21" x14ac:dyDescent="0.3">
      <c r="C799" s="51"/>
      <c r="M799" s="23"/>
      <c r="N799" s="23"/>
      <c r="U799" s="47"/>
    </row>
    <row r="800" spans="3:21" x14ac:dyDescent="0.3">
      <c r="C800" s="51"/>
      <c r="M800" s="23"/>
      <c r="N800" s="23"/>
      <c r="U800" s="47"/>
    </row>
    <row r="801" spans="3:21" x14ac:dyDescent="0.3">
      <c r="C801" s="51"/>
      <c r="M801" s="23"/>
      <c r="N801" s="23"/>
      <c r="U801" s="47"/>
    </row>
    <row r="802" spans="3:21" x14ac:dyDescent="0.3">
      <c r="C802" s="51"/>
      <c r="M802" s="23"/>
      <c r="N802" s="23"/>
      <c r="U802" s="47"/>
    </row>
    <row r="803" spans="3:21" x14ac:dyDescent="0.3">
      <c r="C803" s="51"/>
      <c r="M803" s="23"/>
      <c r="N803" s="23"/>
      <c r="U803" s="47"/>
    </row>
    <row r="804" spans="3:21" x14ac:dyDescent="0.3">
      <c r="C804" s="51"/>
      <c r="M804" s="23"/>
      <c r="N804" s="23"/>
      <c r="U804" s="47"/>
    </row>
    <row r="805" spans="3:21" x14ac:dyDescent="0.3">
      <c r="C805" s="51"/>
      <c r="M805" s="23"/>
      <c r="N805" s="23"/>
      <c r="U805" s="47"/>
    </row>
    <row r="806" spans="3:21" x14ac:dyDescent="0.3">
      <c r="C806" s="51"/>
      <c r="M806" s="23"/>
      <c r="N806" s="23"/>
      <c r="U806" s="47"/>
    </row>
    <row r="807" spans="3:21" x14ac:dyDescent="0.3">
      <c r="C807" s="51"/>
      <c r="M807" s="23"/>
      <c r="N807" s="23"/>
      <c r="U807" s="47"/>
    </row>
    <row r="808" spans="3:21" x14ac:dyDescent="0.3">
      <c r="C808" s="51"/>
      <c r="M808" s="23"/>
      <c r="N808" s="23"/>
      <c r="U808" s="47"/>
    </row>
    <row r="809" spans="3:21" x14ac:dyDescent="0.3">
      <c r="C809" s="51"/>
      <c r="M809" s="23"/>
      <c r="N809" s="23"/>
      <c r="U809" s="47"/>
    </row>
    <row r="810" spans="3:21" x14ac:dyDescent="0.3">
      <c r="C810" s="51"/>
      <c r="M810" s="23"/>
      <c r="N810" s="23"/>
      <c r="U810" s="47"/>
    </row>
    <row r="811" spans="3:21" x14ac:dyDescent="0.3">
      <c r="C811" s="51"/>
      <c r="M811" s="23"/>
      <c r="N811" s="23"/>
      <c r="U811" s="47"/>
    </row>
    <row r="812" spans="3:21" x14ac:dyDescent="0.3">
      <c r="C812" s="51"/>
      <c r="M812" s="23"/>
      <c r="N812" s="23"/>
      <c r="U812" s="47"/>
    </row>
    <row r="813" spans="3:21" x14ac:dyDescent="0.3">
      <c r="C813" s="51"/>
      <c r="M813" s="23"/>
      <c r="N813" s="23"/>
      <c r="U813" s="47"/>
    </row>
    <row r="814" spans="3:21" x14ac:dyDescent="0.3">
      <c r="C814" s="51"/>
      <c r="M814" s="23"/>
      <c r="N814" s="23"/>
      <c r="U814" s="47"/>
    </row>
    <row r="815" spans="3:21" x14ac:dyDescent="0.3">
      <c r="C815" s="51"/>
      <c r="M815" s="23"/>
      <c r="N815" s="23"/>
      <c r="U815" s="47"/>
    </row>
    <row r="816" spans="3:21" x14ac:dyDescent="0.3">
      <c r="C816" s="51"/>
      <c r="M816" s="23"/>
      <c r="N816" s="23"/>
      <c r="U816" s="47"/>
    </row>
    <row r="817" spans="3:21" x14ac:dyDescent="0.3">
      <c r="C817" s="51"/>
      <c r="M817" s="23"/>
      <c r="N817" s="23"/>
      <c r="U817" s="47"/>
    </row>
    <row r="818" spans="3:21" x14ac:dyDescent="0.3">
      <c r="C818" s="51"/>
      <c r="M818" s="23"/>
      <c r="N818" s="23"/>
      <c r="U818" s="47"/>
    </row>
    <row r="819" spans="3:21" x14ac:dyDescent="0.3">
      <c r="C819" s="51"/>
      <c r="M819" s="23"/>
      <c r="N819" s="23"/>
      <c r="U819" s="47"/>
    </row>
    <row r="820" spans="3:21" x14ac:dyDescent="0.3">
      <c r="C820" s="51"/>
      <c r="M820" s="23"/>
      <c r="N820" s="23"/>
      <c r="U820" s="47"/>
    </row>
    <row r="821" spans="3:21" x14ac:dyDescent="0.3">
      <c r="C821" s="51"/>
      <c r="M821" s="23"/>
      <c r="N821" s="23"/>
      <c r="U821" s="47"/>
    </row>
    <row r="822" spans="3:21" x14ac:dyDescent="0.3">
      <c r="C822" s="51"/>
      <c r="M822" s="23"/>
      <c r="N822" s="23"/>
      <c r="U822" s="47"/>
    </row>
    <row r="823" spans="3:21" x14ac:dyDescent="0.3">
      <c r="C823" s="51"/>
      <c r="M823" s="23"/>
      <c r="N823" s="23"/>
      <c r="O823" s="23"/>
      <c r="U823" s="47"/>
    </row>
    <row r="824" spans="3:21" x14ac:dyDescent="0.3">
      <c r="C824" s="51"/>
      <c r="M824" s="23"/>
      <c r="N824" s="23"/>
      <c r="O824" s="23"/>
      <c r="U824" s="47"/>
    </row>
    <row r="825" spans="3:21" x14ac:dyDescent="0.3">
      <c r="C825" s="51"/>
      <c r="M825" s="23"/>
      <c r="N825" s="23"/>
      <c r="O825" s="23"/>
      <c r="U825" s="47"/>
    </row>
    <row r="826" spans="3:21" x14ac:dyDescent="0.3">
      <c r="C826" s="51"/>
      <c r="M826" s="23"/>
      <c r="N826" s="23"/>
      <c r="O826" s="23"/>
      <c r="U826" s="47"/>
    </row>
    <row r="827" spans="3:21" x14ac:dyDescent="0.3">
      <c r="C827" s="51"/>
      <c r="M827" s="23"/>
      <c r="N827" s="23"/>
      <c r="O827" s="23"/>
      <c r="U827" s="47"/>
    </row>
    <row r="828" spans="3:21" x14ac:dyDescent="0.3">
      <c r="C828" s="51"/>
      <c r="M828" s="23"/>
      <c r="N828" s="23"/>
      <c r="O828" s="23"/>
      <c r="U828" s="47"/>
    </row>
    <row r="829" spans="3:21" x14ac:dyDescent="0.3">
      <c r="C829" s="51"/>
      <c r="M829" s="23"/>
      <c r="N829" s="23"/>
      <c r="O829" s="23"/>
      <c r="U829" s="47"/>
    </row>
    <row r="830" spans="3:21" x14ac:dyDescent="0.3">
      <c r="C830" s="51"/>
      <c r="M830" s="23"/>
      <c r="N830" s="23"/>
      <c r="U830" s="47"/>
    </row>
    <row r="831" spans="3:21" x14ac:dyDescent="0.3">
      <c r="C831" s="51"/>
      <c r="M831" s="23"/>
      <c r="N831" s="23"/>
      <c r="U831" s="47"/>
    </row>
    <row r="832" spans="3:21" x14ac:dyDescent="0.3">
      <c r="C832" s="51"/>
      <c r="M832" s="23"/>
      <c r="N832" s="23"/>
      <c r="U832" s="47"/>
    </row>
    <row r="833" spans="3:21" x14ac:dyDescent="0.3">
      <c r="C833" s="51"/>
      <c r="M833" s="23"/>
      <c r="N833" s="23"/>
      <c r="U833" s="47"/>
    </row>
    <row r="834" spans="3:21" x14ac:dyDescent="0.3">
      <c r="C834" s="51"/>
      <c r="M834" s="23"/>
      <c r="N834" s="23"/>
      <c r="U834" s="47"/>
    </row>
    <row r="835" spans="3:21" x14ac:dyDescent="0.3">
      <c r="C835" s="51"/>
      <c r="M835" s="23"/>
      <c r="N835" s="23"/>
      <c r="U835" s="47"/>
    </row>
    <row r="836" spans="3:21" x14ac:dyDescent="0.3">
      <c r="C836" s="51"/>
      <c r="M836" s="23"/>
      <c r="N836" s="23"/>
      <c r="U836" s="47"/>
    </row>
    <row r="837" spans="3:21" x14ac:dyDescent="0.3">
      <c r="C837" s="51"/>
      <c r="M837" s="23"/>
      <c r="N837" s="23"/>
      <c r="U837" s="47"/>
    </row>
    <row r="838" spans="3:21" x14ac:dyDescent="0.3">
      <c r="C838" s="51"/>
      <c r="M838" s="23"/>
      <c r="N838" s="23"/>
      <c r="U838" s="47"/>
    </row>
    <row r="839" spans="3:21" x14ac:dyDescent="0.3">
      <c r="C839" s="51"/>
      <c r="M839" s="23"/>
      <c r="N839" s="23"/>
      <c r="U839" s="47"/>
    </row>
    <row r="840" spans="3:21" x14ac:dyDescent="0.3">
      <c r="C840" s="51"/>
      <c r="M840" s="23"/>
      <c r="N840" s="23"/>
      <c r="U840" s="47"/>
    </row>
    <row r="841" spans="3:21" x14ac:dyDescent="0.3">
      <c r="C841" s="51"/>
      <c r="M841" s="23"/>
      <c r="N841" s="23"/>
      <c r="U841" s="47"/>
    </row>
    <row r="842" spans="3:21" x14ac:dyDescent="0.3">
      <c r="C842" s="51"/>
      <c r="M842" s="23"/>
      <c r="N842" s="23"/>
      <c r="O842" s="23"/>
      <c r="U842" s="47"/>
    </row>
    <row r="843" spans="3:21" x14ac:dyDescent="0.3">
      <c r="C843" s="51"/>
      <c r="M843" s="23"/>
      <c r="N843" s="23"/>
      <c r="U843" s="47"/>
    </row>
    <row r="844" spans="3:21" x14ac:dyDescent="0.3">
      <c r="C844" s="51"/>
      <c r="M844" s="23"/>
      <c r="N844" s="23"/>
      <c r="O844" s="23"/>
      <c r="U844" s="47"/>
    </row>
    <row r="845" spans="3:21" x14ac:dyDescent="0.3">
      <c r="C845" s="51"/>
      <c r="M845" s="23"/>
      <c r="N845" s="23"/>
      <c r="U845" s="47"/>
    </row>
    <row r="846" spans="3:21" x14ac:dyDescent="0.3">
      <c r="C846" s="51"/>
      <c r="M846" s="23"/>
      <c r="N846" s="23"/>
      <c r="U846" s="47"/>
    </row>
    <row r="847" spans="3:21" x14ac:dyDescent="0.3">
      <c r="C847" s="51"/>
      <c r="M847" s="23"/>
      <c r="N847" s="23"/>
      <c r="U847" s="47"/>
    </row>
    <row r="848" spans="3:21" x14ac:dyDescent="0.3">
      <c r="C848" s="51"/>
      <c r="M848" s="23"/>
      <c r="N848" s="23"/>
      <c r="U848" s="47"/>
    </row>
    <row r="849" spans="3:21" x14ac:dyDescent="0.3">
      <c r="C849" s="51"/>
      <c r="M849" s="23"/>
      <c r="N849" s="23"/>
      <c r="U849" s="47"/>
    </row>
    <row r="850" spans="3:21" x14ac:dyDescent="0.3">
      <c r="C850" s="51"/>
      <c r="M850" s="23"/>
      <c r="N850" s="23"/>
      <c r="U850" s="47"/>
    </row>
    <row r="851" spans="3:21" x14ac:dyDescent="0.3">
      <c r="C851" s="51"/>
      <c r="M851" s="23"/>
      <c r="N851" s="23"/>
      <c r="U851" s="47"/>
    </row>
    <row r="852" spans="3:21" x14ac:dyDescent="0.3">
      <c r="C852" s="51"/>
      <c r="M852" s="23"/>
      <c r="N852" s="23"/>
      <c r="U852" s="47"/>
    </row>
    <row r="853" spans="3:21" x14ac:dyDescent="0.3">
      <c r="C853" s="51"/>
      <c r="M853" s="23"/>
      <c r="N853" s="23"/>
      <c r="U853" s="47"/>
    </row>
    <row r="854" spans="3:21" x14ac:dyDescent="0.3">
      <c r="C854" s="51"/>
      <c r="M854" s="23"/>
      <c r="N854" s="23"/>
      <c r="U854" s="47"/>
    </row>
    <row r="855" spans="3:21" x14ac:dyDescent="0.3">
      <c r="C855" s="51"/>
      <c r="M855" s="23"/>
      <c r="N855" s="23"/>
      <c r="U855" s="47"/>
    </row>
    <row r="856" spans="3:21" x14ac:dyDescent="0.3">
      <c r="C856" s="51"/>
      <c r="M856" s="23"/>
      <c r="N856" s="23"/>
      <c r="U856" s="47"/>
    </row>
    <row r="857" spans="3:21" x14ac:dyDescent="0.3">
      <c r="C857" s="51"/>
      <c r="M857" s="23"/>
      <c r="N857" s="23"/>
      <c r="U857" s="47"/>
    </row>
    <row r="858" spans="3:21" x14ac:dyDescent="0.3">
      <c r="C858" s="51"/>
      <c r="M858" s="23"/>
      <c r="N858" s="23"/>
    </row>
    <row r="859" spans="3:21" x14ac:dyDescent="0.3">
      <c r="C859" s="51"/>
      <c r="M859" s="23"/>
      <c r="N859" s="23"/>
    </row>
    <row r="860" spans="3:21" x14ac:dyDescent="0.3">
      <c r="C860" s="51"/>
      <c r="M860" s="23"/>
      <c r="N860" s="23"/>
    </row>
    <row r="861" spans="3:21" x14ac:dyDescent="0.3">
      <c r="C861" s="51"/>
      <c r="M861" s="23"/>
      <c r="N861" s="23"/>
    </row>
    <row r="862" spans="3:21" x14ac:dyDescent="0.3">
      <c r="C862" s="51"/>
      <c r="M862" s="23"/>
      <c r="N862" s="23"/>
    </row>
    <row r="863" spans="3:21" x14ac:dyDescent="0.3">
      <c r="C863" s="51"/>
      <c r="M863" s="23"/>
      <c r="N863" s="23"/>
    </row>
    <row r="864" spans="3:21" x14ac:dyDescent="0.3">
      <c r="C864" s="51"/>
      <c r="M864" s="23"/>
      <c r="N864" s="23"/>
    </row>
    <row r="865" spans="3:15" x14ac:dyDescent="0.3">
      <c r="C865" s="51"/>
      <c r="M865" s="23"/>
      <c r="N865" s="23"/>
      <c r="O865" s="23"/>
    </row>
    <row r="866" spans="3:15" x14ac:dyDescent="0.3">
      <c r="C866" s="51"/>
      <c r="M866" s="23"/>
      <c r="N866" s="23"/>
      <c r="O866" s="23"/>
    </row>
    <row r="867" spans="3:15" x14ac:dyDescent="0.3">
      <c r="C867" s="51"/>
      <c r="M867" s="23"/>
      <c r="N867" s="23"/>
      <c r="O867" s="23"/>
    </row>
    <row r="868" spans="3:15" x14ac:dyDescent="0.3">
      <c r="C868" s="51"/>
      <c r="M868" s="23"/>
      <c r="N868" s="23"/>
      <c r="O868" s="23"/>
    </row>
    <row r="869" spans="3:15" x14ac:dyDescent="0.3">
      <c r="C869" s="51"/>
      <c r="M869" s="23"/>
      <c r="N869" s="23"/>
      <c r="O869" s="23"/>
    </row>
    <row r="870" spans="3:15" x14ac:dyDescent="0.3">
      <c r="C870" s="51"/>
      <c r="M870" s="23"/>
      <c r="N870" s="23"/>
      <c r="O870" s="23"/>
    </row>
    <row r="871" spans="3:15" x14ac:dyDescent="0.3">
      <c r="C871" s="51"/>
      <c r="M871" s="23"/>
      <c r="N871" s="23"/>
    </row>
    <row r="872" spans="3:15" x14ac:dyDescent="0.3">
      <c r="C872" s="51"/>
      <c r="M872" s="23"/>
      <c r="N872" s="23"/>
    </row>
    <row r="873" spans="3:15" x14ac:dyDescent="0.3">
      <c r="C873" s="51"/>
      <c r="M873" s="23"/>
      <c r="N873" s="23"/>
    </row>
    <row r="874" spans="3:15" x14ac:dyDescent="0.3">
      <c r="C874" s="51"/>
      <c r="M874" s="23"/>
      <c r="N874" s="23"/>
    </row>
    <row r="875" spans="3:15" x14ac:dyDescent="0.3">
      <c r="C875" s="51"/>
      <c r="M875" s="23"/>
      <c r="N875" s="23"/>
    </row>
    <row r="876" spans="3:15" x14ac:dyDescent="0.3">
      <c r="C876" s="51"/>
      <c r="M876" s="23"/>
      <c r="N876" s="23"/>
      <c r="O876" s="23"/>
    </row>
    <row r="877" spans="3:15" x14ac:dyDescent="0.3">
      <c r="C877" s="51"/>
      <c r="M877" s="23"/>
      <c r="N877" s="23"/>
    </row>
    <row r="878" spans="3:15" x14ac:dyDescent="0.3">
      <c r="C878" s="51"/>
      <c r="M878" s="23"/>
      <c r="N878" s="23"/>
      <c r="O878" s="23"/>
    </row>
    <row r="879" spans="3:15" x14ac:dyDescent="0.3">
      <c r="C879" s="51"/>
      <c r="M879" s="23"/>
      <c r="N879" s="23"/>
    </row>
    <row r="880" spans="3:15" x14ac:dyDescent="0.3">
      <c r="C880" s="51"/>
      <c r="M880" s="23"/>
      <c r="N880" s="23"/>
    </row>
    <row r="881" spans="3:14" x14ac:dyDescent="0.3">
      <c r="C881" s="51"/>
      <c r="M881" s="23"/>
      <c r="N881" s="23"/>
    </row>
    <row r="882" spans="3:14" x14ac:dyDescent="0.3">
      <c r="C882" s="51"/>
      <c r="M882" s="23"/>
      <c r="N882" s="23"/>
    </row>
    <row r="883" spans="3:14" x14ac:dyDescent="0.3">
      <c r="C883" s="51"/>
      <c r="M883" s="23"/>
      <c r="N883" s="23"/>
    </row>
    <row r="884" spans="3:14" x14ac:dyDescent="0.3">
      <c r="C884" s="51"/>
      <c r="M884" s="23"/>
      <c r="N884" s="23"/>
    </row>
    <row r="885" spans="3:14" x14ac:dyDescent="0.3">
      <c r="C885" s="51"/>
      <c r="M885" s="23"/>
      <c r="N885" s="23"/>
    </row>
    <row r="886" spans="3:14" x14ac:dyDescent="0.3">
      <c r="C886" s="51"/>
      <c r="M886" s="23"/>
      <c r="N886" s="23"/>
    </row>
    <row r="887" spans="3:14" x14ac:dyDescent="0.3">
      <c r="C887" s="51"/>
      <c r="M887" s="23"/>
      <c r="N887" s="23"/>
    </row>
    <row r="888" spans="3:14" x14ac:dyDescent="0.3">
      <c r="C888" s="51"/>
      <c r="M888" s="23"/>
      <c r="N888" s="23"/>
    </row>
    <row r="889" spans="3:14" x14ac:dyDescent="0.3">
      <c r="C889" s="51"/>
      <c r="M889" s="23"/>
      <c r="N889" s="23"/>
    </row>
    <row r="890" spans="3:14" x14ac:dyDescent="0.3">
      <c r="C890" s="51"/>
      <c r="M890" s="23"/>
      <c r="N890" s="23"/>
    </row>
    <row r="891" spans="3:14" x14ac:dyDescent="0.3">
      <c r="C891" s="51"/>
      <c r="M891" s="23"/>
      <c r="N891" s="23"/>
    </row>
    <row r="892" spans="3:14" x14ac:dyDescent="0.3">
      <c r="C892" s="51"/>
      <c r="M892" s="23"/>
      <c r="N892" s="23"/>
    </row>
    <row r="893" spans="3:14" x14ac:dyDescent="0.3">
      <c r="C893" s="51"/>
      <c r="M893" s="23"/>
      <c r="N893" s="23"/>
    </row>
    <row r="894" spans="3:14" x14ac:dyDescent="0.3">
      <c r="C894" s="51"/>
      <c r="M894" s="23"/>
      <c r="N894" s="23"/>
    </row>
    <row r="895" spans="3:14" x14ac:dyDescent="0.3">
      <c r="C895" s="51"/>
      <c r="M895" s="23"/>
      <c r="N895" s="23"/>
    </row>
    <row r="896" spans="3:14" x14ac:dyDescent="0.3">
      <c r="C896" s="51"/>
      <c r="M896" s="23"/>
      <c r="N896" s="23"/>
    </row>
    <row r="897" spans="3:14" x14ac:dyDescent="0.3">
      <c r="C897" s="51"/>
      <c r="M897" s="23"/>
      <c r="N897" s="23"/>
    </row>
    <row r="898" spans="3:14" x14ac:dyDescent="0.3">
      <c r="C898" s="51"/>
      <c r="M898" s="23"/>
      <c r="N898" s="23"/>
    </row>
    <row r="899" spans="3:14" x14ac:dyDescent="0.3">
      <c r="C899" s="51"/>
      <c r="M899" s="23"/>
      <c r="N899" s="23"/>
    </row>
    <row r="900" spans="3:14" x14ac:dyDescent="0.3">
      <c r="C900" s="51"/>
      <c r="M900" s="23"/>
      <c r="N900" s="23"/>
    </row>
    <row r="901" spans="3:14" x14ac:dyDescent="0.3">
      <c r="C901" s="51"/>
      <c r="M901" s="23"/>
      <c r="N901" s="23"/>
    </row>
    <row r="902" spans="3:14" x14ac:dyDescent="0.3">
      <c r="C902" s="51"/>
      <c r="M902" s="23"/>
      <c r="N902" s="23"/>
    </row>
    <row r="903" spans="3:14" x14ac:dyDescent="0.3">
      <c r="C903" s="51"/>
      <c r="M903" s="23"/>
      <c r="N903" s="23"/>
    </row>
    <row r="904" spans="3:14" x14ac:dyDescent="0.3">
      <c r="C904" s="51"/>
      <c r="M904" s="23"/>
      <c r="N904" s="23"/>
    </row>
    <row r="905" spans="3:14" x14ac:dyDescent="0.3">
      <c r="C905" s="51"/>
      <c r="M905" s="23"/>
      <c r="N905" s="23"/>
    </row>
    <row r="906" spans="3:14" x14ac:dyDescent="0.3">
      <c r="C906" s="51"/>
      <c r="M906" s="23"/>
      <c r="N906" s="23"/>
    </row>
    <row r="907" spans="3:14" x14ac:dyDescent="0.3">
      <c r="C907" s="51"/>
      <c r="M907" s="23"/>
      <c r="N907" s="23"/>
    </row>
    <row r="908" spans="3:14" x14ac:dyDescent="0.3">
      <c r="C908" s="51"/>
      <c r="M908" s="23"/>
      <c r="N908" s="23"/>
    </row>
    <row r="909" spans="3:14" x14ac:dyDescent="0.3">
      <c r="C909" s="51"/>
      <c r="M909" s="23"/>
      <c r="N909" s="23"/>
    </row>
    <row r="910" spans="3:14" x14ac:dyDescent="0.3">
      <c r="C910" s="51"/>
      <c r="M910" s="23"/>
      <c r="N910" s="23"/>
    </row>
    <row r="911" spans="3:14" x14ac:dyDescent="0.3">
      <c r="C911" s="51"/>
      <c r="M911" s="23"/>
      <c r="N911" s="23"/>
    </row>
    <row r="912" spans="3:14" x14ac:dyDescent="0.3">
      <c r="C912" s="51"/>
      <c r="M912" s="23"/>
      <c r="N912" s="23"/>
    </row>
    <row r="913" spans="3:14" x14ac:dyDescent="0.3">
      <c r="C913" s="51"/>
      <c r="M913" s="23"/>
      <c r="N913" s="23"/>
    </row>
    <row r="914" spans="3:14" x14ac:dyDescent="0.3">
      <c r="C914" s="51"/>
      <c r="M914" s="23"/>
      <c r="N914" s="23"/>
    </row>
    <row r="915" spans="3:14" x14ac:dyDescent="0.3">
      <c r="C915" s="51"/>
      <c r="M915" s="23"/>
      <c r="N915" s="23"/>
    </row>
    <row r="916" spans="3:14" x14ac:dyDescent="0.3">
      <c r="C916" s="51"/>
      <c r="M916" s="23"/>
      <c r="N916" s="23"/>
    </row>
    <row r="917" spans="3:14" x14ac:dyDescent="0.3">
      <c r="C917" s="51"/>
      <c r="M917" s="23"/>
      <c r="N917" s="23"/>
    </row>
    <row r="918" spans="3:14" x14ac:dyDescent="0.3">
      <c r="C918" s="51"/>
      <c r="M918" s="23"/>
      <c r="N918" s="23"/>
    </row>
    <row r="919" spans="3:14" x14ac:dyDescent="0.3">
      <c r="C919" s="51"/>
      <c r="M919" s="23"/>
      <c r="N919" s="23"/>
    </row>
    <row r="920" spans="3:14" x14ac:dyDescent="0.3">
      <c r="C920" s="51"/>
      <c r="M920" s="23"/>
      <c r="N920" s="23"/>
    </row>
    <row r="921" spans="3:14" x14ac:dyDescent="0.3">
      <c r="C921" s="51"/>
      <c r="M921" s="23"/>
      <c r="N921" s="23"/>
    </row>
    <row r="922" spans="3:14" x14ac:dyDescent="0.3">
      <c r="C922" s="51"/>
      <c r="M922" s="23"/>
      <c r="N922" s="23"/>
    </row>
    <row r="923" spans="3:14" x14ac:dyDescent="0.3">
      <c r="C923" s="51"/>
      <c r="M923" s="23"/>
      <c r="N923" s="23"/>
    </row>
    <row r="924" spans="3:14" x14ac:dyDescent="0.3">
      <c r="C924" s="51"/>
      <c r="M924" s="23"/>
      <c r="N924" s="23"/>
    </row>
    <row r="925" spans="3:14" x14ac:dyDescent="0.3">
      <c r="C925" s="51"/>
      <c r="M925" s="23"/>
      <c r="N925" s="23"/>
    </row>
    <row r="926" spans="3:14" x14ac:dyDescent="0.3">
      <c r="C926" s="51"/>
      <c r="M926" s="23"/>
      <c r="N926" s="23"/>
    </row>
    <row r="927" spans="3:14" x14ac:dyDescent="0.3">
      <c r="C927" s="51"/>
      <c r="M927" s="23"/>
      <c r="N927" s="23"/>
    </row>
    <row r="928" spans="3:14" x14ac:dyDescent="0.3">
      <c r="C928" s="51"/>
      <c r="M928" s="23"/>
      <c r="N928" s="23"/>
    </row>
    <row r="929" spans="3:14" x14ac:dyDescent="0.3">
      <c r="C929" s="51"/>
      <c r="M929" s="23"/>
      <c r="N929" s="23"/>
    </row>
    <row r="930" spans="3:14" x14ac:dyDescent="0.3">
      <c r="C930" s="51"/>
      <c r="M930" s="23"/>
      <c r="N930" s="23"/>
    </row>
    <row r="931" spans="3:14" x14ac:dyDescent="0.3">
      <c r="C931" s="51"/>
      <c r="M931" s="23"/>
      <c r="N931" s="23"/>
    </row>
    <row r="932" spans="3:14" x14ac:dyDescent="0.3">
      <c r="C932" s="51"/>
      <c r="M932" s="23"/>
      <c r="N932" s="23"/>
    </row>
    <row r="933" spans="3:14" x14ac:dyDescent="0.3">
      <c r="C933" s="51"/>
      <c r="M933" s="23"/>
      <c r="N933" s="23"/>
    </row>
    <row r="934" spans="3:14" x14ac:dyDescent="0.3">
      <c r="C934" s="51"/>
      <c r="M934" s="23"/>
      <c r="N934" s="23"/>
    </row>
    <row r="935" spans="3:14" x14ac:dyDescent="0.3">
      <c r="C935" s="51"/>
      <c r="M935" s="23"/>
      <c r="N935" s="23"/>
    </row>
    <row r="936" spans="3:14" x14ac:dyDescent="0.3">
      <c r="C936" s="51"/>
      <c r="M936" s="23"/>
      <c r="N936" s="23"/>
    </row>
    <row r="937" spans="3:14" x14ac:dyDescent="0.3">
      <c r="C937" s="51"/>
      <c r="M937" s="23"/>
      <c r="N937" s="23"/>
    </row>
    <row r="938" spans="3:14" x14ac:dyDescent="0.3">
      <c r="C938" s="51"/>
      <c r="M938" s="23"/>
      <c r="N938" s="23"/>
    </row>
    <row r="939" spans="3:14" x14ac:dyDescent="0.3">
      <c r="C939" s="51"/>
      <c r="M939" s="23"/>
      <c r="N939" s="23"/>
    </row>
    <row r="940" spans="3:14" x14ac:dyDescent="0.3">
      <c r="C940" s="51"/>
      <c r="M940" s="23"/>
      <c r="N940" s="23"/>
    </row>
    <row r="941" spans="3:14" x14ac:dyDescent="0.3">
      <c r="C941" s="51"/>
      <c r="M941" s="23"/>
      <c r="N941" s="23"/>
    </row>
    <row r="942" spans="3:14" x14ac:dyDescent="0.3">
      <c r="C942" s="51"/>
      <c r="M942" s="23"/>
      <c r="N942" s="23"/>
    </row>
    <row r="943" spans="3:14" x14ac:dyDescent="0.3">
      <c r="C943" s="51"/>
      <c r="M943" s="23"/>
      <c r="N943" s="23"/>
    </row>
    <row r="944" spans="3:14" x14ac:dyDescent="0.3">
      <c r="C944" s="51"/>
      <c r="M944" s="23"/>
      <c r="N944" s="23"/>
    </row>
    <row r="945" spans="3:14" x14ac:dyDescent="0.3">
      <c r="C945" s="51"/>
      <c r="M945" s="23"/>
      <c r="N945" s="23"/>
    </row>
    <row r="946" spans="3:14" x14ac:dyDescent="0.3">
      <c r="C946" s="51"/>
      <c r="M946" s="23"/>
      <c r="N946" s="23"/>
    </row>
    <row r="947" spans="3:14" x14ac:dyDescent="0.3">
      <c r="C947" s="51"/>
      <c r="M947" s="23"/>
      <c r="N947" s="23"/>
    </row>
    <row r="948" spans="3:14" x14ac:dyDescent="0.3">
      <c r="C948" s="51"/>
      <c r="M948" s="23"/>
      <c r="N948" s="23"/>
    </row>
    <row r="949" spans="3:14" x14ac:dyDescent="0.3">
      <c r="C949" s="51"/>
      <c r="M949" s="23"/>
      <c r="N949" s="23"/>
    </row>
    <row r="950" spans="3:14" x14ac:dyDescent="0.3">
      <c r="C950" s="51"/>
      <c r="M950" s="23"/>
      <c r="N950" s="23"/>
    </row>
    <row r="951" spans="3:14" x14ac:dyDescent="0.3">
      <c r="C951" s="51"/>
      <c r="M951" s="23"/>
      <c r="N951" s="23"/>
    </row>
    <row r="952" spans="3:14" x14ac:dyDescent="0.3">
      <c r="C952" s="51"/>
      <c r="M952" s="23"/>
      <c r="N952" s="23"/>
    </row>
    <row r="953" spans="3:14" x14ac:dyDescent="0.3">
      <c r="C953" s="51"/>
      <c r="M953" s="23"/>
      <c r="N953" s="23"/>
    </row>
    <row r="954" spans="3:14" x14ac:dyDescent="0.3">
      <c r="C954" s="51"/>
      <c r="M954" s="23"/>
      <c r="N954" s="23"/>
    </row>
    <row r="955" spans="3:14" x14ac:dyDescent="0.3">
      <c r="C955" s="51"/>
      <c r="M955" s="23"/>
      <c r="N955" s="23"/>
    </row>
    <row r="956" spans="3:14" x14ac:dyDescent="0.3">
      <c r="C956" s="51"/>
      <c r="M956" s="23"/>
      <c r="N956" s="23"/>
    </row>
    <row r="957" spans="3:14" x14ac:dyDescent="0.3">
      <c r="C957" s="51"/>
      <c r="M957" s="23"/>
      <c r="N957" s="23"/>
    </row>
    <row r="958" spans="3:14" x14ac:dyDescent="0.3">
      <c r="C958" s="51"/>
      <c r="M958" s="23"/>
      <c r="N958" s="23"/>
    </row>
    <row r="959" spans="3:14" x14ac:dyDescent="0.3">
      <c r="C959" s="51"/>
      <c r="M959" s="23"/>
      <c r="N959" s="23"/>
    </row>
    <row r="960" spans="3:14" x14ac:dyDescent="0.3">
      <c r="C960" s="51"/>
      <c r="M960" s="23"/>
      <c r="N960" s="23"/>
    </row>
    <row r="961" spans="3:14" x14ac:dyDescent="0.3">
      <c r="C961" s="51"/>
      <c r="M961" s="23"/>
      <c r="N961" s="23"/>
    </row>
    <row r="962" spans="3:14" x14ac:dyDescent="0.3">
      <c r="C962" s="51"/>
      <c r="M962" s="23"/>
      <c r="N962" s="23"/>
    </row>
    <row r="963" spans="3:14" x14ac:dyDescent="0.3">
      <c r="C963" s="51"/>
      <c r="M963" s="23"/>
      <c r="N963" s="23"/>
    </row>
    <row r="964" spans="3:14" x14ac:dyDescent="0.3">
      <c r="C964" s="51"/>
      <c r="M964" s="23"/>
      <c r="N964" s="23"/>
    </row>
    <row r="965" spans="3:14" x14ac:dyDescent="0.3">
      <c r="C965" s="51"/>
      <c r="M965" s="23"/>
      <c r="N965" s="23"/>
    </row>
    <row r="966" spans="3:14" x14ac:dyDescent="0.3">
      <c r="C966" s="51"/>
      <c r="M966" s="23"/>
      <c r="N966" s="23"/>
    </row>
    <row r="967" spans="3:14" x14ac:dyDescent="0.3">
      <c r="C967" s="51"/>
      <c r="M967" s="23"/>
      <c r="N967" s="23"/>
    </row>
    <row r="968" spans="3:14" x14ac:dyDescent="0.3">
      <c r="C968" s="51"/>
      <c r="M968" s="23"/>
      <c r="N968" s="23"/>
    </row>
    <row r="969" spans="3:14" x14ac:dyDescent="0.3">
      <c r="C969" s="51"/>
      <c r="M969" s="23"/>
      <c r="N969" s="23"/>
    </row>
    <row r="970" spans="3:14" x14ac:dyDescent="0.3">
      <c r="C970" s="51"/>
      <c r="M970" s="23"/>
      <c r="N970" s="23"/>
    </row>
    <row r="971" spans="3:14" x14ac:dyDescent="0.3">
      <c r="C971" s="51"/>
      <c r="M971" s="23"/>
      <c r="N971" s="23"/>
    </row>
    <row r="972" spans="3:14" x14ac:dyDescent="0.3">
      <c r="C972" s="51"/>
      <c r="M972" s="23"/>
      <c r="N972" s="23"/>
    </row>
    <row r="973" spans="3:14" x14ac:dyDescent="0.3">
      <c r="C973" s="51"/>
      <c r="M973" s="23"/>
      <c r="N973" s="23"/>
    </row>
    <row r="974" spans="3:14" x14ac:dyDescent="0.3">
      <c r="C974" s="51"/>
      <c r="M974" s="23"/>
      <c r="N974" s="23"/>
    </row>
    <row r="975" spans="3:14" x14ac:dyDescent="0.3">
      <c r="C975" s="51"/>
    </row>
  </sheetData>
  <mergeCells count="2">
    <mergeCell ref="Z33:Z34"/>
    <mergeCell ref="AA33:AA34"/>
  </mergeCells>
  <phoneticPr fontId="12" type="noConversion"/>
  <conditionalFormatting sqref="A34:Y34 A35:AA1924 A2:AA33">
    <cfRule type="expression" dxfId="16" priority="248">
      <formula>#REF!="BILL RECEIVED"</formula>
    </cfRule>
    <cfRule type="expression" dxfId="15" priority="249">
      <formula>#REF!="NOT LIVED"</formula>
    </cfRule>
    <cfRule type="expression" dxfId="14" priority="250">
      <formula>#REF!="CANCELED"</formula>
    </cfRule>
    <cfRule type="expression" dxfId="13" priority="251">
      <formula>#REF!="PACKAGE"</formula>
    </cfRule>
    <cfRule type="expression" dxfId="12" priority="252">
      <formula>#REF!=""</formula>
    </cfRule>
  </conditionalFormatting>
  <conditionalFormatting sqref="A2:E5 E810:E835 E837 E845:E850 E858:E870 E872:E873 E839 E804:E808 E896:E961">
    <cfRule type="expression" dxfId="11" priority="268">
      <formula>#REF!="NOT LIVED"</formula>
    </cfRule>
    <cfRule type="expression" dxfId="10" priority="269">
      <formula>#REF!="CANCELED"</formula>
    </cfRule>
  </conditionalFormatting>
  <conditionalFormatting sqref="A2:E5 E837 E845:E850 E858:E870 E872:E873 E839 E804:E835 E896:E1006">
    <cfRule type="expression" dxfId="9" priority="270">
      <formula>#REF!="PACKAGE"</formula>
    </cfRule>
    <cfRule type="expression" dxfId="8" priority="271">
      <formula>#REF!=""</formula>
    </cfRule>
    <cfRule type="expression" dxfId="7" priority="272">
      <formula>#REF!="BILL RECEIVED"</formula>
    </cfRule>
  </conditionalFormatting>
  <conditionalFormatting sqref="E809">
    <cfRule type="expression" dxfId="6" priority="276">
      <formula>#REF!="CANCELED"</formula>
    </cfRule>
    <cfRule type="expression" dxfId="5" priority="277">
      <formula>#REF!="NOT LIVED"</formula>
    </cfRule>
  </conditionalFormatting>
  <conditionalFormatting sqref="E809">
    <cfRule type="expression" dxfId="4" priority="278">
      <formula>#REF!="PACKAGE"</formula>
    </cfRule>
    <cfRule type="expression" dxfId="3" priority="279">
      <formula>#REF!="BILL RECEIVED"</formula>
    </cfRule>
    <cfRule type="expression" dxfId="2" priority="280">
      <formula>#REF!=""</formula>
    </cfRule>
  </conditionalFormatting>
  <conditionalFormatting sqref="E56:E59">
    <cfRule type="expression" dxfId="1" priority="383">
      <formula>#REF!="PACKAGE"</formula>
    </cfRule>
  </conditionalFormatting>
  <conditionalFormatting sqref="E56:E59">
    <cfRule type="expression" dxfId="0" priority="391">
      <formula>#REF!="NOT LIVED"</formula>
    </cfRule>
  </conditionalFormatting>
  <dataValidations count="1">
    <dataValidation allowBlank="1" showInputMessage="1" showErrorMessage="1" promptTitle="MEDIA" sqref="H552:I552 H204:I204 H445:J445 H549:I549 H577:I582 H570:I570 H401:J401 H596:I597 H399:J399 H591:I592 H206:I206 H628:I629 H600:I621 H639:I639 H584:I585 H623:I623 H721:I721 H635:I635 H716:I719 H637:I637 H698:I699 H631:I631 H685:I685 H691:I691 H696:I696 H644:I650 H693:I694 J584 H652:I659 H687:I689 H662:I662 H671:I671 J539 H680:I681 E3 H703:I703 E739 E764 E793:E796 E798 E800:E801 E803 E895 E887:E888 E880 J644 E882:E883 E885 E890:E893 H838:I838 H889:I889 H701:I701 E904:E907 E909 E916:E919 E922:E925 E927:E928 E930 E940:E941 E938 E943 E963:E966 H285:I287 H724:I724 E235 E489:E490 E701 E596:E597 E685 E691 E696 E644:E650 E371 E248:E249 E531 E535:E537 E514:E516 E716:E719 E577:E582 E591:E592 E628:E629 E149 E693:E694 E185 E189 E307:E311 H556:J567 E600:E621 E652:E659 E687:E689 E698:E699 E364 E639 E552 E662 E549 E570 E584:E585 E623 E635 E671 E703 E721 E724 E539:E547 E968 E285:E287 E637 E680:E681 E529 E507 E399 E401 E445 E631 E204 E206 E102 E57 E556:E567 H102:I102 H149:I149 H185:I185 H189:I189 H235:I235 H248:I249 H307:I311 H371:I371 H364:I364 H489:I490 H531:I531 H535:I537 H514:I516 H529:I529 H507:I507 H539:I547 I32 E60:E61 H64:H66 I60:I66 E77:E78 E64:E75 H77:H78 I76:I78 J77:J78" xr:uid="{2EBB35AF-95E0-4CA0-87E0-74E56ACB8FFD}"/>
  </dataValidations>
  <pageMargins left="0.7" right="0.7" top="0.75" bottom="0.75" header="0.3" footer="0.3"/>
  <pageSetup paperSize="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AU4"/>
  <sheetViews>
    <sheetView workbookViewId="0">
      <pane ySplit="1" topLeftCell="A2" activePane="bottomLeft" state="frozen"/>
      <selection activeCell="E22" sqref="E22"/>
      <selection pane="bottomLeft" activeCell="D20" sqref="D20"/>
    </sheetView>
  </sheetViews>
  <sheetFormatPr defaultRowHeight="14.4" x14ac:dyDescent="0.3"/>
  <cols>
    <col min="4" max="4" width="49.88671875" bestFit="1" customWidth="1"/>
    <col min="5" max="5" width="62.5546875" bestFit="1" customWidth="1"/>
    <col min="6" max="6" width="34.5546875" bestFit="1" customWidth="1"/>
    <col min="7" max="7" width="20.33203125" bestFit="1" customWidth="1"/>
    <col min="8" max="8" width="11.33203125" bestFit="1" customWidth="1"/>
    <col min="9" max="9" width="11.44140625" bestFit="1" customWidth="1"/>
    <col min="10" max="10" width="13.6640625" bestFit="1" customWidth="1"/>
    <col min="11" max="12" width="10.44140625" customWidth="1"/>
    <col min="13" max="14" width="9.109375" bestFit="1" customWidth="1"/>
    <col min="15" max="15" width="13.33203125" bestFit="1" customWidth="1"/>
    <col min="16" max="16" width="14.88671875" bestFit="1" customWidth="1"/>
    <col min="17" max="17" width="18.5546875" customWidth="1"/>
    <col min="18" max="18" width="13.6640625" bestFit="1" customWidth="1"/>
    <col min="19" max="19" width="14" bestFit="1" customWidth="1"/>
    <col min="20" max="20" width="19.88671875" bestFit="1" customWidth="1"/>
    <col min="21" max="21" width="13.6640625" bestFit="1" customWidth="1"/>
    <col min="22" max="22" width="13.33203125" bestFit="1" customWidth="1"/>
    <col min="23" max="23" width="18.109375" bestFit="1" customWidth="1"/>
    <col min="24" max="25" width="16.44140625" bestFit="1" customWidth="1"/>
    <col min="26" max="26" width="11.5546875" bestFit="1" customWidth="1"/>
    <col min="27" max="28" width="11.88671875" bestFit="1" customWidth="1"/>
    <col min="29" max="29" width="18.88671875" bestFit="1" customWidth="1"/>
    <col min="30" max="30" width="20.109375" bestFit="1" customWidth="1"/>
    <col min="32" max="32" width="15" bestFit="1" customWidth="1"/>
    <col min="33" max="33" width="10.44140625" bestFit="1" customWidth="1"/>
    <col min="34" max="38" width="9" bestFit="1" customWidth="1"/>
    <col min="39" max="39" width="20" bestFit="1" customWidth="1"/>
    <col min="40" max="40" width="15.5546875" bestFit="1" customWidth="1"/>
    <col min="41" max="41" width="12.109375" bestFit="1" customWidth="1"/>
    <col min="51" max="51" width="18.5546875" bestFit="1" customWidth="1"/>
    <col min="52" max="52" width="18.44140625" bestFit="1" customWidth="1"/>
    <col min="53" max="53" width="18" bestFit="1" customWidth="1"/>
    <col min="54" max="54" width="17.5546875" bestFit="1" customWidth="1"/>
    <col min="55" max="55" width="13.6640625" bestFit="1" customWidth="1"/>
  </cols>
  <sheetData>
    <row r="1" spans="1:47" x14ac:dyDescent="0.3">
      <c r="A1" t="s">
        <v>902</v>
      </c>
      <c r="B1" t="s">
        <v>903</v>
      </c>
      <c r="C1" t="s">
        <v>904</v>
      </c>
      <c r="D1" t="s">
        <v>905</v>
      </c>
      <c r="E1" t="s">
        <v>906</v>
      </c>
      <c r="F1" t="s">
        <v>942</v>
      </c>
      <c r="G1" t="s">
        <v>943</v>
      </c>
      <c r="H1" t="s">
        <v>944</v>
      </c>
      <c r="I1" t="s">
        <v>907</v>
      </c>
      <c r="J1" t="s">
        <v>945</v>
      </c>
      <c r="K1" t="s">
        <v>946</v>
      </c>
      <c r="L1" t="s">
        <v>947</v>
      </c>
      <c r="M1" t="s">
        <v>948</v>
      </c>
      <c r="N1" t="s">
        <v>908</v>
      </c>
      <c r="O1" t="s">
        <v>949</v>
      </c>
      <c r="P1" t="s">
        <v>922</v>
      </c>
      <c r="Q1" s="1" t="s">
        <v>923</v>
      </c>
      <c r="R1" s="2" t="s">
        <v>924</v>
      </c>
      <c r="S1" s="2" t="s">
        <v>925</v>
      </c>
      <c r="T1" s="2" t="s">
        <v>926</v>
      </c>
      <c r="U1" s="2" t="s">
        <v>927</v>
      </c>
      <c r="V1" t="s">
        <v>928</v>
      </c>
      <c r="W1" t="s">
        <v>929</v>
      </c>
      <c r="X1" t="s">
        <v>930</v>
      </c>
      <c r="Y1" t="s">
        <v>931</v>
      </c>
      <c r="Z1" t="s">
        <v>937</v>
      </c>
      <c r="AA1" t="s">
        <v>938</v>
      </c>
      <c r="AB1" t="s">
        <v>939</v>
      </c>
      <c r="AC1" t="s">
        <v>940</v>
      </c>
      <c r="AD1" t="s">
        <v>914</v>
      </c>
      <c r="AE1" t="s">
        <v>915</v>
      </c>
      <c r="AF1" s="1" t="s">
        <v>932</v>
      </c>
      <c r="AG1" t="s">
        <v>909</v>
      </c>
      <c r="AH1" s="2" t="s">
        <v>950</v>
      </c>
      <c r="AI1" t="s">
        <v>910</v>
      </c>
      <c r="AJ1" t="s">
        <v>911</v>
      </c>
      <c r="AK1" t="s">
        <v>912</v>
      </c>
      <c r="AL1" t="s">
        <v>913</v>
      </c>
      <c r="AM1" t="s">
        <v>933</v>
      </c>
      <c r="AN1" t="s">
        <v>951</v>
      </c>
      <c r="AO1" t="s">
        <v>916</v>
      </c>
      <c r="AP1" t="s">
        <v>917</v>
      </c>
      <c r="AQ1" t="s">
        <v>934</v>
      </c>
      <c r="AR1" t="s">
        <v>918</v>
      </c>
      <c r="AS1" t="s">
        <v>919</v>
      </c>
      <c r="AT1" t="s">
        <v>920</v>
      </c>
      <c r="AU1" t="s">
        <v>921</v>
      </c>
    </row>
    <row r="2" spans="1:47" s="5" customFormat="1" x14ac:dyDescent="0.3">
      <c r="A2" s="18" t="s">
        <v>21</v>
      </c>
      <c r="B2" s="18" t="s">
        <v>935</v>
      </c>
      <c r="C2" t="str">
        <f t="shared" ref="C2:C3" si="0">TEXT(J2,"MMM-YY")</f>
        <v>Apr-25</v>
      </c>
      <c r="D2" s="21" t="s">
        <v>941</v>
      </c>
      <c r="E2" s="18" t="s">
        <v>962</v>
      </c>
      <c r="F2" s="18" t="s">
        <v>956</v>
      </c>
      <c r="G2" s="18" t="s">
        <v>962</v>
      </c>
      <c r="H2" s="18" t="s">
        <v>953</v>
      </c>
      <c r="I2" s="12" t="str">
        <f t="shared" ref="I2" si="1">TEXT(J2,"dddd")</f>
        <v>Friday</v>
      </c>
      <c r="J2" s="11">
        <v>45751</v>
      </c>
      <c r="K2" s="11">
        <v>45764</v>
      </c>
      <c r="L2" s="20"/>
      <c r="M2" s="20"/>
      <c r="N2" s="8" t="s">
        <v>960</v>
      </c>
      <c r="O2" s="18" t="s">
        <v>963</v>
      </c>
      <c r="P2" s="18" t="s">
        <v>964</v>
      </c>
      <c r="Q2" s="11">
        <v>45750</v>
      </c>
      <c r="R2" s="13">
        <f t="shared" ref="R2" si="2">T2/0.85</f>
        <v>52470.588235294119</v>
      </c>
      <c r="S2" s="13">
        <f t="shared" ref="S2" si="3">U2/0.85</f>
        <v>52470.588235294119</v>
      </c>
      <c r="T2" s="19">
        <v>44600</v>
      </c>
      <c r="U2" s="13">
        <v>44600</v>
      </c>
      <c r="V2" s="22" t="s">
        <v>965</v>
      </c>
      <c r="W2" s="7">
        <v>45769</v>
      </c>
      <c r="X2" s="14">
        <f t="shared" ref="X2:Y3" si="4">T2</f>
        <v>44600</v>
      </c>
      <c r="Y2" s="14">
        <f t="shared" si="4"/>
        <v>44600</v>
      </c>
      <c r="Z2" s="10" t="e">
        <f>IF(AU2="TAMILNADU",Y2*9%,Y2*0)</f>
        <v>#REF!</v>
      </c>
      <c r="AA2" s="9" t="e">
        <f t="shared" ref="AA2" si="5">IF(AU2="TAMILNADU",Y2*9%,Y2*0)</f>
        <v>#REF!</v>
      </c>
      <c r="AB2" s="9" t="e">
        <f t="shared" ref="AB2" si="6">IF(AU2="TAMILNADU",Y2*0,Y2*18%)</f>
        <v>#REF!</v>
      </c>
      <c r="AC2" s="9" t="e">
        <f>AA2+Z2+Y2+AB2</f>
        <v>#REF!</v>
      </c>
      <c r="AD2" s="5" t="s">
        <v>914</v>
      </c>
      <c r="AE2" s="5" t="s">
        <v>966</v>
      </c>
      <c r="AF2" s="7">
        <v>45797</v>
      </c>
      <c r="AG2" s="15" t="e">
        <f>VLOOKUP(D2,#REF!,2,0)</f>
        <v>#REF!</v>
      </c>
      <c r="AH2" s="16" t="e">
        <f t="shared" ref="AH2" si="7">AG2*S2</f>
        <v>#REF!</v>
      </c>
      <c r="AI2" s="13" t="e">
        <f t="shared" ref="AI2" si="8">IF(AQ2="TAMIL NADU",AH2*9%,AH2*0)</f>
        <v>#REF!</v>
      </c>
      <c r="AJ2" s="13" t="e">
        <f t="shared" ref="AJ2" si="9">IF(AQ2="TAMIL NADU",AH2*9%,AH2*0)</f>
        <v>#REF!</v>
      </c>
      <c r="AK2" s="13" t="e">
        <f t="shared" ref="AK2" si="10">IF(AQ2="TAMIL NADU",AH2*0%,AH2*18%)</f>
        <v>#REF!</v>
      </c>
      <c r="AL2" s="16" t="e">
        <f t="shared" ref="AL2" si="11">SUM(AI2:AK2)</f>
        <v>#REF!</v>
      </c>
      <c r="AM2" s="16" t="e">
        <f t="shared" ref="AM2" si="12">AL2+AH2</f>
        <v>#REF!</v>
      </c>
      <c r="AN2" s="16" t="e">
        <f t="shared" ref="AN2" si="13">AM2+AC2</f>
        <v>#REF!</v>
      </c>
      <c r="AP2" s="17" t="s">
        <v>936</v>
      </c>
      <c r="AQ2" s="13" t="s">
        <v>955</v>
      </c>
      <c r="AR2" s="9" t="e">
        <f>VLOOKUP(D2,#REF!,3,0)</f>
        <v>#REF!</v>
      </c>
      <c r="AS2" s="9" t="e">
        <f>VLOOKUP(D2,#REF!,4,0)</f>
        <v>#REF!</v>
      </c>
      <c r="AT2" s="5" t="e">
        <f>VLOOKUP(N2,#REF!,2,0)</f>
        <v>#REF!</v>
      </c>
      <c r="AU2" s="5" t="e">
        <f>VLOOKUP(N2,#REF!,3,0)</f>
        <v>#REF!</v>
      </c>
    </row>
    <row r="3" spans="1:47" s="5" customFormat="1" x14ac:dyDescent="0.3">
      <c r="A3" s="18" t="s">
        <v>21</v>
      </c>
      <c r="B3" s="18" t="s">
        <v>935</v>
      </c>
      <c r="C3" t="str">
        <f t="shared" si="0"/>
        <v>Jul-25</v>
      </c>
      <c r="D3" s="21" t="s">
        <v>958</v>
      </c>
      <c r="E3" s="18" t="s">
        <v>967</v>
      </c>
      <c r="F3" s="18" t="s">
        <v>952</v>
      </c>
      <c r="G3" s="18" t="s">
        <v>954</v>
      </c>
      <c r="H3" s="18" t="s">
        <v>953</v>
      </c>
      <c r="I3" s="12" t="str">
        <f t="shared" ref="I3" si="14">TEXT(J3,"dddd")</f>
        <v>Friday</v>
      </c>
      <c r="J3" s="11">
        <v>45856</v>
      </c>
      <c r="K3" s="11">
        <v>45862</v>
      </c>
      <c r="L3" s="20"/>
      <c r="M3" s="20"/>
      <c r="N3" s="8" t="s">
        <v>960</v>
      </c>
      <c r="O3" s="18" t="s">
        <v>954</v>
      </c>
      <c r="P3" s="18" t="s">
        <v>968</v>
      </c>
      <c r="Q3" s="11">
        <v>45855</v>
      </c>
      <c r="R3" s="13">
        <f t="shared" ref="R3" si="15">T3/0.85</f>
        <v>199105.88235294117</v>
      </c>
      <c r="S3" s="13">
        <f t="shared" ref="S3" si="16">U3/0.85</f>
        <v>199105.88235294117</v>
      </c>
      <c r="T3" s="19">
        <v>169240</v>
      </c>
      <c r="U3" s="13">
        <v>169240</v>
      </c>
      <c r="V3" s="22" t="s">
        <v>969</v>
      </c>
      <c r="W3" s="7">
        <v>45863</v>
      </c>
      <c r="X3" s="14">
        <f t="shared" ref="X3" si="17">T3</f>
        <v>169240</v>
      </c>
      <c r="Y3" s="14">
        <f t="shared" si="4"/>
        <v>169240</v>
      </c>
      <c r="Z3" s="10" t="e">
        <f t="shared" ref="Z3" si="18">IF(AU3="TAMILNADU",Y3*9%,Y3*0)</f>
        <v>#REF!</v>
      </c>
      <c r="AA3" s="9" t="e">
        <f t="shared" ref="AA3" si="19">IF(AU3="TAMILNADU",Y3*9%,Y3*0)</f>
        <v>#REF!</v>
      </c>
      <c r="AB3" s="9" t="e">
        <f t="shared" ref="AB3" si="20">IF(AU3="TAMILNADU",Y3*0,Y3*18%)</f>
        <v>#REF!</v>
      </c>
      <c r="AC3" s="9" t="e">
        <f>AA3+Z3+Y3+AB3</f>
        <v>#REF!</v>
      </c>
      <c r="AD3" s="5" t="s">
        <v>914</v>
      </c>
      <c r="AE3" s="5" t="s">
        <v>970</v>
      </c>
      <c r="AF3" s="7">
        <v>45869</v>
      </c>
      <c r="AG3" s="15" t="e">
        <f>VLOOKUP(D3,#REF!,2,0)</f>
        <v>#REF!</v>
      </c>
      <c r="AH3" s="16" t="e">
        <f t="shared" ref="AH3" si="21">AG3*S3</f>
        <v>#REF!</v>
      </c>
      <c r="AI3" s="13" t="e">
        <f t="shared" ref="AI3" si="22">IF(AQ3="TAMIL NADU",AH3*9%,AH3*0)</f>
        <v>#REF!</v>
      </c>
      <c r="AJ3" s="13" t="e">
        <f t="shared" ref="AJ3" si="23">IF(AQ3="TAMIL NADU",AH3*9%,AH3*0)</f>
        <v>#REF!</v>
      </c>
      <c r="AK3" s="13" t="e">
        <f t="shared" ref="AK3" si="24">IF(AQ3="TAMIL NADU",AH3*0%,AH3*18%)</f>
        <v>#REF!</v>
      </c>
      <c r="AL3" s="16" t="e">
        <f t="shared" ref="AL3" si="25">SUM(AI3:AK3)</f>
        <v>#REF!</v>
      </c>
      <c r="AM3" s="16" t="e">
        <f t="shared" ref="AM3" si="26">AL3+AH3</f>
        <v>#REF!</v>
      </c>
      <c r="AN3" s="16" t="e">
        <f t="shared" ref="AN3" si="27">AM3+AC3</f>
        <v>#REF!</v>
      </c>
      <c r="AP3" s="17" t="s">
        <v>936</v>
      </c>
      <c r="AQ3" s="13" t="s">
        <v>955</v>
      </c>
      <c r="AR3" s="9" t="e">
        <f>VLOOKUP(D3,#REF!,3,0)</f>
        <v>#REF!</v>
      </c>
      <c r="AS3" s="9" t="e">
        <f>VLOOKUP(D3,#REF!,4,0)</f>
        <v>#REF!</v>
      </c>
      <c r="AT3" s="5" t="e">
        <f>VLOOKUP(N3,#REF!,2,0)</f>
        <v>#REF!</v>
      </c>
      <c r="AU3" s="5" t="e">
        <f>VLOOKUP(N3,#REF!,3,0)</f>
        <v>#REF!</v>
      </c>
    </row>
    <row r="4" spans="1:47" s="5" customFormat="1" x14ac:dyDescent="0.3">
      <c r="A4" s="18" t="s">
        <v>21</v>
      </c>
      <c r="B4" s="18" t="s">
        <v>935</v>
      </c>
      <c r="C4" t="str">
        <f t="shared" ref="C4" si="28">TEXT(J4,"MMM-YY")</f>
        <v>Aug-25</v>
      </c>
      <c r="D4" t="s">
        <v>959</v>
      </c>
      <c r="E4" s="18" t="s">
        <v>971</v>
      </c>
      <c r="F4" s="18" t="s">
        <v>952</v>
      </c>
      <c r="G4" s="18" t="s">
        <v>954</v>
      </c>
      <c r="H4" s="18" t="s">
        <v>953</v>
      </c>
      <c r="I4" s="12" t="str">
        <f t="shared" ref="I4" si="29">TEXT(J4,"dddd")</f>
        <v>Friday</v>
      </c>
      <c r="J4" s="11">
        <v>45884</v>
      </c>
      <c r="K4" s="11">
        <v>45890</v>
      </c>
      <c r="L4" s="20"/>
      <c r="M4" s="20"/>
      <c r="N4" s="8" t="s">
        <v>960</v>
      </c>
      <c r="O4" s="18" t="s">
        <v>954</v>
      </c>
      <c r="P4" s="18" t="s">
        <v>972</v>
      </c>
      <c r="Q4" s="11">
        <v>45883</v>
      </c>
      <c r="R4" s="13">
        <f t="shared" ref="R4" si="30">T4/0.85</f>
        <v>415982.3529411765</v>
      </c>
      <c r="S4" s="13">
        <f t="shared" ref="S4" si="31">U4/0.85</f>
        <v>415982.3529411765</v>
      </c>
      <c r="T4" s="19">
        <v>353585</v>
      </c>
      <c r="U4" s="13">
        <v>353585</v>
      </c>
      <c r="V4" s="22" t="s">
        <v>973</v>
      </c>
      <c r="W4" s="7">
        <v>45891</v>
      </c>
      <c r="X4" s="14">
        <f t="shared" ref="X4" si="32">T4</f>
        <v>353585</v>
      </c>
      <c r="Y4" s="14">
        <f>U4</f>
        <v>353585</v>
      </c>
      <c r="Z4" s="10" t="e">
        <f t="shared" ref="Z4" si="33">IF(AU4="TAMILNADU",Y4*9%,Y4*0)</f>
        <v>#REF!</v>
      </c>
      <c r="AA4" s="9" t="e">
        <f t="shared" ref="AA4" si="34">IF(AU4="TAMILNADU",Y4*9%,Y4*0)</f>
        <v>#REF!</v>
      </c>
      <c r="AB4" s="9" t="e">
        <f t="shared" ref="AB4" si="35">IF(AU4="TAMILNADU",Y4*0,Y4*18%)</f>
        <v>#REF!</v>
      </c>
      <c r="AC4" s="9" t="e">
        <f>AA4+Z4+Y4+AB4</f>
        <v>#REF!</v>
      </c>
      <c r="AD4" s="5" t="s">
        <v>914</v>
      </c>
      <c r="AE4" s="5" t="s">
        <v>974</v>
      </c>
      <c r="AF4" s="7">
        <v>45899</v>
      </c>
      <c r="AG4" s="15" t="e">
        <f>VLOOKUP(D4,#REF!,2,0)</f>
        <v>#REF!</v>
      </c>
      <c r="AH4" s="16" t="e">
        <f t="shared" ref="AH4" si="36">AG4*S4</f>
        <v>#REF!</v>
      </c>
      <c r="AI4" s="13" t="e">
        <f t="shared" ref="AI4" si="37">IF(AQ4="TAMIL NADU",AH4*9%,AH4*0)</f>
        <v>#REF!</v>
      </c>
      <c r="AJ4" s="13" t="e">
        <f t="shared" ref="AJ4" si="38">IF(AQ4="TAMIL NADU",AH4*9%,AH4*0)</f>
        <v>#REF!</v>
      </c>
      <c r="AK4" s="13" t="e">
        <f t="shared" ref="AK4" si="39">IF(AQ4="TAMIL NADU",AH4*0%,AH4*18%)</f>
        <v>#REF!</v>
      </c>
      <c r="AL4" s="16" t="e">
        <f t="shared" ref="AL4" si="40">SUM(AI4:AK4)</f>
        <v>#REF!</v>
      </c>
      <c r="AM4" s="16" t="e">
        <f t="shared" ref="AM4" si="41">AL4+AH4</f>
        <v>#REF!</v>
      </c>
      <c r="AN4" s="16" t="e">
        <f t="shared" ref="AN4" si="42">AM4+AC4</f>
        <v>#REF!</v>
      </c>
      <c r="AP4" s="17" t="s">
        <v>936</v>
      </c>
      <c r="AQ4" s="13" t="s">
        <v>955</v>
      </c>
      <c r="AR4" s="9" t="e">
        <f>VLOOKUP(D4,#REF!,3,0)</f>
        <v>#REF!</v>
      </c>
      <c r="AS4" s="9" t="e">
        <f>VLOOKUP(D4,#REF!,4,0)</f>
        <v>#REF!</v>
      </c>
      <c r="AT4" s="5" t="e">
        <f>VLOOKUP(N4,#REF!,2,0)</f>
        <v>#REF!</v>
      </c>
      <c r="AU4" s="5" t="e">
        <f>VLOOKUP(N4,#REF!,3,0)</f>
        <v>#REF!</v>
      </c>
    </row>
  </sheetData>
  <autoFilter ref="A1:AV1" xr:uid="{00000000-0009-0000-0000-000008000000}"/>
  <dataValidations count="1">
    <dataValidation allowBlank="1" showInputMessage="1" showErrorMessage="1" promptTitle="MEDIA" sqref="N2:N4" xr:uid="{00000000-0002-0000-0800-000000000000}"/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93259D0CF436449FB9CA44EFA4515F" ma:contentTypeVersion="13" ma:contentTypeDescription="Create a new document." ma:contentTypeScope="" ma:versionID="08190d289f64e0c63b5abc85ac9e34bb">
  <xsd:schema xmlns:xsd="http://www.w3.org/2001/XMLSchema" xmlns:xs="http://www.w3.org/2001/XMLSchema" xmlns:p="http://schemas.microsoft.com/office/2006/metadata/properties" xmlns:ns3="6b5a9a9e-2dbb-4913-81f6-a0b1409fa58c" xmlns:ns4="d92feeab-63f3-4f9d-a991-b6dad2a65b22" targetNamespace="http://schemas.microsoft.com/office/2006/metadata/properties" ma:root="true" ma:fieldsID="17bde9a7673ce3a49753fe2c47afa222" ns3:_="" ns4:_="">
    <xsd:import namespace="6b5a9a9e-2dbb-4913-81f6-a0b1409fa58c"/>
    <xsd:import namespace="d92feeab-63f3-4f9d-a991-b6dad2a65b2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a9a9e-2dbb-4913-81f6-a0b1409fa5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2feeab-63f3-4f9d-a991-b6dad2a65b2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09EC16-45F8-421B-81B6-D27C4466BB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5a9a9e-2dbb-4913-81f6-a0b1409fa58c"/>
    <ds:schemaRef ds:uri="d92feeab-63f3-4f9d-a991-b6dad2a65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36180D-9F6D-4626-9032-505744A169C3}">
  <ds:schemaRefs>
    <ds:schemaRef ds:uri="http://schemas.openxmlformats.org/package/2006/metadata/core-properties"/>
    <ds:schemaRef ds:uri="http://purl.org/dc/dcmitype/"/>
    <ds:schemaRef ds:uri="http://schemas.microsoft.com/office/2006/metadata/properties"/>
    <ds:schemaRef ds:uri="6b5a9a9e-2dbb-4913-81f6-a0b1409fa58c"/>
    <ds:schemaRef ds:uri="http://purl.org/dc/terms/"/>
    <ds:schemaRef ds:uri="d92feeab-63f3-4f9d-a991-b6dad2a65b22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4B06D3B-733B-4300-B3BD-FD5152B10A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 Nos</vt:lpstr>
      <vt:lpstr>RO</vt:lpstr>
      <vt:lpstr>Cinema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kavitha Srinivasan</dc:creator>
  <cp:keywords/>
  <dc:description/>
  <cp:lastModifiedBy>vishal anand</cp:lastModifiedBy>
  <cp:revision/>
  <cp:lastPrinted>2025-10-06T08:01:40Z</cp:lastPrinted>
  <dcterms:created xsi:type="dcterms:W3CDTF">2020-09-25T16:28:29Z</dcterms:created>
  <dcterms:modified xsi:type="dcterms:W3CDTF">2026-09-18T16:44:34Z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0x0101000293259D0CF436449FB9CA44EFA4515F</vt:lpwstr>
  </property>
</Properties>
</file>